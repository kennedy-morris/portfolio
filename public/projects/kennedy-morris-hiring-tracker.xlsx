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ndidates" sheetId="2" state="visible" r:id="rId4"/>
    <sheet name="Passing Scores" sheetId="3" state="visible" r:id="rId5"/>
    <sheet name="Job Info" sheetId="4" state="visible" r:id="rId6"/>
    <sheet name="Hiring Processes" sheetId="5" state="visible" r:id="rId7"/>
    <sheet name="Stage_Feed" sheetId="6" state="visible" r:id="rId8"/>
    <sheet name="Power BI" sheetId="7" state="visible" r:id="rId9"/>
    <sheet name="How It Works" sheetId="8" state="visible" r:id="rId10"/>
  </sheets>
  <definedNames>
    <definedName function="false" hidden="false" name="ExceedResume" vbProcedure="false">'Passing Scores'!$B$2</definedName>
    <definedName function="false" hidden="false" name="JobInfo" vbProcedure="false">'Job Info'!$A$2:$C$9</definedName>
    <definedName function="false" hidden="false" name="MinFinalInterview" vbProcedure="false">'Passing Scores'!$B$8</definedName>
    <definedName function="false" hidden="false" name="MinInitialMeeting" vbProcedure="false">'Passing Scores'!$B$4</definedName>
    <definedName function="false" hidden="false" name="MinPersonalityAssessment" vbProcedure="false">'Passing Scores'!$B$6</definedName>
    <definedName function="false" hidden="false" name="MinPortfolio" vbProcedure="false">'Passing Scores'!$B$5</definedName>
    <definedName function="false" hidden="false" name="MinResume" vbProcedure="false">'Passing Scores'!$B$1</definedName>
    <definedName function="false" hidden="false" name="MinTechAssessment" vbProcedure="false">'Passing Scores'!$B$3</definedName>
    <definedName function="false" hidden="false" name="MinTechInterview" vbProcedure="false">'Passing Scores'!$B$7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<sst xmlns="http://schemas.openxmlformats.org/spreadsheetml/2006/main" count="467" uniqueCount="301">
  <si>
    <t xml:space="preserve">Hiring Pipeline Dashboard</t>
  </si>
  <si>
    <t xml:space="preserve">MSE 100 hiring process model: tracks every candidate through the Software Developer, Graphic Designer and Commercial Team hiring paths.</t>
  </si>
  <si>
    <t xml:space="preserve">All candidate data is fictional. Numbers recalculate from the Candidates and Passing Scores tabs.</t>
  </si>
  <si>
    <t xml:space="preserve">TOTAL CANDIDATES</t>
  </si>
  <si>
    <t xml:space="preserve">IN PROCESS</t>
  </si>
  <si>
    <t xml:space="preserve">REJECTED</t>
  </si>
  <si>
    <t xml:space="preserve">REJECTION RATE</t>
  </si>
  <si>
    <t xml:space="preserve">ENTRIES TO REVIEW</t>
  </si>
  <si>
    <t xml:space="preserve">Across all hiring paths</t>
  </si>
  <si>
    <t xml:space="preserve">Still moving through the pipeline</t>
  </si>
  <si>
    <t xml:space="preserve">Failed at least one stage</t>
  </si>
  <si>
    <t xml:space="preserve">Rejected divided by total</t>
  </si>
  <si>
    <t xml:space="preserve">Scores outside 0 to 10, or non-dates in date columns</t>
  </si>
  <si>
    <t xml:space="preserve">Results at each stage</t>
  </si>
  <si>
    <t xml:space="preserve">Stage</t>
  </si>
  <si>
    <t xml:space="preserve">Scored</t>
  </si>
  <si>
    <t xml:space="preserve">Passed</t>
  </si>
  <si>
    <t xml:space="preserve">Failed</t>
  </si>
  <si>
    <t xml:space="preserve">Pass rate</t>
  </si>
  <si>
    <t xml:space="preserve">Min score</t>
  </si>
  <si>
    <t xml:space="preserve">Resume Review</t>
  </si>
  <si>
    <t xml:space="preserve">Tech Assessment</t>
  </si>
  <si>
    <t xml:space="preserve">Initial Meeting</t>
  </si>
  <si>
    <t xml:space="preserve">Portfolio</t>
  </si>
  <si>
    <t xml:space="preserve">Personality Assessment</t>
  </si>
  <si>
    <t xml:space="preserve">Technical Interview</t>
  </si>
  <si>
    <t xml:space="preserve">Final Interview</t>
  </si>
  <si>
    <t xml:space="preserve">Pipeline status</t>
  </si>
  <si>
    <t xml:space="preserve">Status</t>
  </si>
  <si>
    <t xml:space="preserve">Candidates</t>
  </si>
  <si>
    <t xml:space="preserve">In process</t>
  </si>
  <si>
    <t xml:space="preserve">Rejected</t>
  </si>
  <si>
    <t xml:space="preserve">Offer signed</t>
  </si>
  <si>
    <t xml:space="preserve">Hiring path</t>
  </si>
  <si>
    <t xml:space="preserve">Path</t>
  </si>
  <si>
    <t xml:space="preserve">Applicants</t>
  </si>
  <si>
    <t xml:space="preserve">Not rejected</t>
  </si>
  <si>
    <t xml:space="preserve">Rejection rate</t>
  </si>
  <si>
    <t xml:space="preserve">Software Developer</t>
  </si>
  <si>
    <t xml:space="preserve">Graphic Designer</t>
  </si>
  <si>
    <t xml:space="preserve">Commercial Team</t>
  </si>
  <si>
    <t xml:space="preserve">Action queue: what each active candidate needs next</t>
  </si>
  <si>
    <t xml:space="preserve">Next step</t>
  </si>
  <si>
    <t xml:space="preserve">Review Resume</t>
  </si>
  <si>
    <t xml:space="preserve">Schedule Initial Meeting</t>
  </si>
  <si>
    <t xml:space="preserve">Conduct Initial Meeting</t>
  </si>
  <si>
    <t xml:space="preserve">Review Initial Meeting</t>
  </si>
  <si>
    <t xml:space="preserve">Send Technical Assessment</t>
  </si>
  <si>
    <t xml:space="preserve">Write Technical Assessment</t>
  </si>
  <si>
    <t xml:space="preserve">Review Technical Assessment</t>
  </si>
  <si>
    <t xml:space="preserve">Ask for Portfolio</t>
  </si>
  <si>
    <t xml:space="preserve">Send Portfolio</t>
  </si>
  <si>
    <t xml:space="preserve">Review Portfolio</t>
  </si>
  <si>
    <t xml:space="preserve">Send Personality Assessment</t>
  </si>
  <si>
    <t xml:space="preserve">Write Personality Assessment</t>
  </si>
  <si>
    <t xml:space="preserve">Review Personality Assessment</t>
  </si>
  <si>
    <t xml:space="preserve">Schedule Technical Interview</t>
  </si>
  <si>
    <t xml:space="preserve">Conduct Technical Interview</t>
  </si>
  <si>
    <t xml:space="preserve">Review Technical Interview</t>
  </si>
  <si>
    <t xml:space="preserve">Schedule Final Interview</t>
  </si>
  <si>
    <t xml:space="preserve">Conduct Final Interview</t>
  </si>
  <si>
    <t xml:space="preserve">Review Final Interview</t>
  </si>
  <si>
    <t xml:space="preserve">Send Offer</t>
  </si>
  <si>
    <t xml:space="preserve">Sign Offer</t>
  </si>
  <si>
    <t xml:space="preserve">Hired!</t>
  </si>
  <si>
    <t xml:space="preserve">Source: Candidates tab (data) and Passing Scores tab (pass marks). Candidate rows 2 to 500 are counted. Rejected candidates show as FAIL and are listed under Rejected, not here.</t>
  </si>
  <si>
    <t xml:space="preserve">Name</t>
  </si>
  <si>
    <t xml:space="preserve">Next Step</t>
  </si>
  <si>
    <t xml:space="preserve">Position Applied</t>
  </si>
  <si>
    <t xml:space="preserve">Category</t>
  </si>
  <si>
    <t xml:space="preserve">Exceeds Expectations?</t>
  </si>
  <si>
    <t xml:space="preserve">Resume Score</t>
  </si>
  <si>
    <t xml:space="preserve">Send Tech Assessment</t>
  </si>
  <si>
    <t xml:space="preserve">Tech Assessment Done</t>
  </si>
  <si>
    <t xml:space="preserve">Tech Assessment Score</t>
  </si>
  <si>
    <t xml:space="preserve">Initial Meeting Scheduled</t>
  </si>
  <si>
    <t xml:space="preserve">Initial Meeting Conducted</t>
  </si>
  <si>
    <t xml:space="preserve">Initial Meeting Score</t>
  </si>
  <si>
    <t xml:space="preserve">Portfolio Requested</t>
  </si>
  <si>
    <t xml:space="preserve">Portfolio Received</t>
  </si>
  <si>
    <t xml:space="preserve">Portfolio Score</t>
  </si>
  <si>
    <t xml:space="preserve">Personality Assessment Sent</t>
  </si>
  <si>
    <t xml:space="preserve">Personality Assessment Done</t>
  </si>
  <si>
    <t xml:space="preserve">Personality Assessment Score</t>
  </si>
  <si>
    <t xml:space="preserve">Tech Interview Scheduled</t>
  </si>
  <si>
    <t xml:space="preserve">Tech Interview Conducted</t>
  </si>
  <si>
    <t xml:space="preserve">Tech Interview Score</t>
  </si>
  <si>
    <t xml:space="preserve">Final Interview Scheduled</t>
  </si>
  <si>
    <t xml:space="preserve">Final Interview Conducted</t>
  </si>
  <si>
    <t xml:space="preserve">Final Interview Score</t>
  </si>
  <si>
    <t xml:space="preserve">Offer Sent</t>
  </si>
  <si>
    <t xml:space="preserve">Offer Signed</t>
  </si>
  <si>
    <t xml:space="preserve">Base Process Code</t>
  </si>
  <si>
    <t xml:space="preserve">Exceeding Code</t>
  </si>
  <si>
    <t xml:space="preserve">Full Process Code</t>
  </si>
  <si>
    <t xml:space="preserve"># Steps Complete</t>
  </si>
  <si>
    <t xml:space="preserve">Process Column</t>
  </si>
  <si>
    <t xml:space="preserve">Relevant Row</t>
  </si>
  <si>
    <t xml:space="preserve">Active Status</t>
  </si>
  <si>
    <t xml:space="preserve">Actual Status</t>
  </si>
  <si>
    <t xml:space="preserve">Resume Fail</t>
  </si>
  <si>
    <t xml:space="preserve">Tech Assessment Fail</t>
  </si>
  <si>
    <t xml:space="preserve">Initial Meeting Fail</t>
  </si>
  <si>
    <t xml:space="preserve">Portfolio Fail</t>
  </si>
  <si>
    <t xml:space="preserve">Personality Fail</t>
  </si>
  <si>
    <t xml:space="preserve">Tech Interview Fail</t>
  </si>
  <si>
    <t xml:space="preserve">Final Interview Fail</t>
  </si>
  <si>
    <t xml:space="preserve">Overall Fail</t>
  </si>
  <si>
    <t xml:space="preserve">Min Resume Score</t>
  </si>
  <si>
    <t xml:space="preserve">Exceeding Resume Score</t>
  </si>
  <si>
    <t xml:space="preserve">Min Tech Assessment</t>
  </si>
  <si>
    <t xml:space="preserve">Min Initial Meeting</t>
  </si>
  <si>
    <t xml:space="preserve">Min Portfolio</t>
  </si>
  <si>
    <t xml:space="preserve">Min Personality Assessment</t>
  </si>
  <si>
    <t xml:space="preserve">Min Tech Interview</t>
  </si>
  <si>
    <t xml:space="preserve">Min Final Interview</t>
  </si>
  <si>
    <t xml:space="preserve">William S Preston</t>
  </si>
  <si>
    <t xml:space="preserve">Front-End Developer</t>
  </si>
  <si>
    <t xml:space="preserve">Ted Logan</t>
  </si>
  <si>
    <t xml:space="preserve">Back-End Developer</t>
  </si>
  <si>
    <t xml:space="preserve">Wuce Brayne</t>
  </si>
  <si>
    <t xml:space="preserve">Infrastructure Developer</t>
  </si>
  <si>
    <t xml:space="preserve">Kark Clent</t>
  </si>
  <si>
    <t xml:space="preserve">UI Designer</t>
  </si>
  <si>
    <t xml:space="preserve">Stony Tark</t>
  </si>
  <si>
    <t xml:space="preserve">UX Designer</t>
  </si>
  <si>
    <t xml:space="preserve">Reve Stogers</t>
  </si>
  <si>
    <t xml:space="preserve">Multimedia Creator</t>
  </si>
  <si>
    <t xml:space="preserve">Xarles Chavier</t>
  </si>
  <si>
    <t xml:space="preserve">Business Operations Associate</t>
  </si>
  <si>
    <t xml:space="preserve">Buce Branner</t>
  </si>
  <si>
    <t xml:space="preserve">Commercial Lead</t>
  </si>
  <si>
    <t xml:space="preserve">Peter Parker</t>
  </si>
  <si>
    <t xml:space="preserve">Maunt Ay</t>
  </si>
  <si>
    <t xml:space="preserve">Ratasha Nomanov</t>
  </si>
  <si>
    <t xml:space="preserve">Arry Ballen</t>
  </si>
  <si>
    <t xml:space="preserve">Billie Jean</t>
  </si>
  <si>
    <t xml:space="preserve">Cotton Eye Joe</t>
  </si>
  <si>
    <t xml:space="preserve">Rain Lu</t>
  </si>
  <si>
    <t xml:space="preserve">Om Patel</t>
  </si>
  <si>
    <t xml:space="preserve">David Wheatle</t>
  </si>
  <si>
    <t xml:space="preserve">Julian Gaidola</t>
  </si>
  <si>
    <t xml:space="preserve">Sophia Scott</t>
  </si>
  <si>
    <t xml:space="preserve">Sneverous Sape</t>
  </si>
  <si>
    <t xml:space="preserve">Leville Nongbottom</t>
  </si>
  <si>
    <t xml:space="preserve">Parry Hotter</t>
  </si>
  <si>
    <t xml:space="preserve">Won Reasley</t>
  </si>
  <si>
    <t xml:space="preserve">Vord Loldermort</t>
  </si>
  <si>
    <t xml:space="preserve">Rom Tiddle</t>
  </si>
  <si>
    <t xml:space="preserve">Dalbus Umbledore</t>
  </si>
  <si>
    <t xml:space="preserve">Maco Dralfoy</t>
  </si>
  <si>
    <t xml:space="preserve">Lemis Rupin</t>
  </si>
  <si>
    <t xml:space="preserve">Merhrdad Pirnia</t>
  </si>
  <si>
    <t xml:space="preserve">Resume Critique</t>
  </si>
  <si>
    <t xml:space="preserve">Minimum score to pass each stage (0 to 10).</t>
  </si>
  <si>
    <t xml:space="preserve">Resume Exceed</t>
  </si>
  <si>
    <t xml:space="preserve">Yellow cells are inputs. Change one and the Candidates tab and Dashboard update.</t>
  </si>
  <si>
    <t xml:space="preserve">"Resume Exceed" is the score that marks a candidate as exceeding expectations.</t>
  </si>
  <si>
    <t xml:space="preserve">Position</t>
  </si>
  <si>
    <t xml:space="preserve">Process Code</t>
  </si>
  <si>
    <t xml:space="preserve">SD</t>
  </si>
  <si>
    <t xml:space="preserve">GD</t>
  </si>
  <si>
    <t xml:space="preserve">CT</t>
  </si>
  <si>
    <t xml:space="preserve">Process</t>
  </si>
  <si>
    <t xml:space="preserve">Exceeding</t>
  </si>
  <si>
    <t xml:space="preserve">Yes</t>
  </si>
  <si>
    <t xml:space="preserve">No</t>
  </si>
  <si>
    <t xml:space="preserve">Code</t>
  </si>
  <si>
    <t xml:space="preserve">CTYES</t>
  </si>
  <si>
    <t xml:space="preserve">CTNO</t>
  </si>
  <si>
    <t xml:space="preserve">SDYES</t>
  </si>
  <si>
    <t xml:space="preserve">SDNO</t>
  </si>
  <si>
    <t xml:space="preserve">GDYES</t>
  </si>
  <si>
    <t xml:space="preserve">GDNO</t>
  </si>
  <si>
    <t xml:space="preserve">Number</t>
  </si>
  <si>
    <t xml:space="preserve">Step1</t>
  </si>
  <si>
    <t xml:space="preserve">Step2</t>
  </si>
  <si>
    <t xml:space="preserve">Step3</t>
  </si>
  <si>
    <t xml:space="preserve">Step4</t>
  </si>
  <si>
    <t xml:space="preserve">Step5</t>
  </si>
  <si>
    <t xml:space="preserve">Step6</t>
  </si>
  <si>
    <t xml:space="preserve">Step7</t>
  </si>
  <si>
    <t xml:space="preserve">Step8</t>
  </si>
  <si>
    <t xml:space="preserve">Step9</t>
  </si>
  <si>
    <t xml:space="preserve">Step10</t>
  </si>
  <si>
    <t xml:space="preserve">Step11</t>
  </si>
  <si>
    <t xml:space="preserve">Step12</t>
  </si>
  <si>
    <t xml:space="preserve">Step13</t>
  </si>
  <si>
    <t xml:space="preserve">Step14</t>
  </si>
  <si>
    <t xml:space="preserve">Step15</t>
  </si>
  <si>
    <t xml:space="preserve">Step16</t>
  </si>
  <si>
    <t xml:space="preserve">Candidate</t>
  </si>
  <si>
    <t xml:space="preserve">Stage Order</t>
  </si>
  <si>
    <t xml:space="preserve">Score</t>
  </si>
  <si>
    <t xml:space="preserve">Min Score</t>
  </si>
  <si>
    <t xml:space="preserve">Result</t>
  </si>
  <si>
    <t xml:space="preserve">Candidate row</t>
  </si>
  <si>
    <t xml:space="preserve">Stage #</t>
  </si>
  <si>
    <t xml:space="preserve">Candidates column #</t>
  </si>
  <si>
    <t xml:space="preserve">Column # is the position of each stage score on the Candidates tab (F=6, I=9, L=12, O=15, R=18, U=21, X=24).</t>
  </si>
  <si>
    <t xml:space="preserve">This tab feeds Power BI. It covers the first 100 candidates on the Candidates tab, 7 stages each.</t>
  </si>
  <si>
    <t xml:space="preserve">Empty rows (no candidate yet) come back blank. Filter them out in Power Query.</t>
  </si>
  <si>
    <t xml:space="preserve">Power BI build notes</t>
  </si>
  <si>
    <t xml:space="preserve">What this is</t>
  </si>
  <si>
    <t xml:space="preserve">The Power BI version of the Dashboard tab reads two tables from this workbook: tblCandidates (Candidates tab) and tblStageFeed (Stage_Feed tab).</t>
  </si>
  <si>
    <t xml:space="preserve">1. Load the data</t>
  </si>
  <si>
    <t xml:space="preserve">Get data</t>
  </si>
  <si>
    <t xml:space="preserve">Power BI Desktop &gt; Home &gt; Get data &gt; Excel workbook &gt; pick this file. Tick tblCandidates and tblStageFeed, then click Transform Data.</t>
  </si>
  <si>
    <t xml:space="preserve">Rename</t>
  </si>
  <si>
    <t xml:space="preserve">Rename the queries to Candidates and Stages.</t>
  </si>
  <si>
    <t xml:space="preserve">Clean Stages</t>
  </si>
  <si>
    <t xml:space="preserve">Filter the Candidate column to remove blank rows. Set types: Stage Order = Whole number, Score = Decimal number, Min Score = Whole number.</t>
  </si>
  <si>
    <t xml:space="preserve">Clean Candidates</t>
  </si>
  <si>
    <t xml:space="preserve">Set the date columns (Send Tech Assessment, Offer Sent, etc.) to Date. Then Close &amp; Apply.</t>
  </si>
  <si>
    <t xml:space="preserve">2. Model</t>
  </si>
  <si>
    <t xml:space="preserve">Relationship</t>
  </si>
  <si>
    <t xml:space="preserve">Model view: drag Candidates[Name] onto Stages[Candidate] (one-to-many, single direction).</t>
  </si>
  <si>
    <t xml:space="preserve">Stage order</t>
  </si>
  <si>
    <t xml:space="preserve">Select Stages[Stage] &gt; Column tools &gt; Sort by column &gt; Stage Order, so stages appear in process order.</t>
  </si>
  <si>
    <t xml:space="preserve">Status column</t>
  </si>
  <si>
    <t xml:space="preserve">On Candidates, New column:  Status = SWITCH ( TRUE (), Candidates[Next Step] = "FAIL", "Rejected", NOT ISBLANK ( Candidates[Offer Signed] ), "Offer signed", "In process" )</t>
  </si>
  <si>
    <t xml:space="preserve">Tidy up</t>
  </si>
  <si>
    <t xml:space="preserve">Hide the helper columns (Base Process Code through Min Final Interview) from report view.</t>
  </si>
  <si>
    <t xml:space="preserve">3. Measures (Home &gt; New measure)</t>
  </si>
  <si>
    <t xml:space="preserve">Total Candidates</t>
  </si>
  <si>
    <t xml:space="preserve">Total Candidates = COUNTROWS ( Candidates )</t>
  </si>
  <si>
    <t xml:space="preserve">Rejected = CALCULATE ( [Total Candidates], Candidates[Status] = "Rejected" )</t>
  </si>
  <si>
    <t xml:space="preserve">Offers Signed</t>
  </si>
  <si>
    <t xml:space="preserve">Offers Signed = CALCULATE ( [Total Candidates], Candidates[Status] = "Offer signed" )</t>
  </si>
  <si>
    <t xml:space="preserve">In Process</t>
  </si>
  <si>
    <t xml:space="preserve">In Process = CALCULATE ( [Total Candidates], Candidates[Status] = "In process" )</t>
  </si>
  <si>
    <t xml:space="preserve">Rejection Rate</t>
  </si>
  <si>
    <t xml:space="preserve">Rejection Rate = DIVIDE ( [Rejected], [Total Candidates] )</t>
  </si>
  <si>
    <t xml:space="preserve">Passed = CALCULATE ( COUNTROWS ( Stages ), Stages[Result] = "Pass" )</t>
  </si>
  <si>
    <t xml:space="preserve">Failed = CALCULATE ( COUNTROWS ( Stages ), Stages[Result] = "Fail" )</t>
  </si>
  <si>
    <t xml:space="preserve">Pass Rate</t>
  </si>
  <si>
    <t xml:space="preserve">Pass Rate = DIVIDE ( [Passed], [Passed] + [Failed] )</t>
  </si>
  <si>
    <t xml:space="preserve">Stage Score</t>
  </si>
  <si>
    <t xml:space="preserve">Stage Score = MAX ( Stages[Score] )</t>
  </si>
  <si>
    <t xml:space="preserve">Result Colour</t>
  </si>
  <si>
    <t xml:space="preserve">Result Colour = SWITCH ( SELECTEDVALUE ( Stages[Result] ), "Pass", "#CFE6D4", "Fail", "#F6D5D0", "#FFFFFF" )</t>
  </si>
  <si>
    <t xml:space="preserve">4. Report page</t>
  </si>
  <si>
    <t xml:space="preserve">Top row</t>
  </si>
  <si>
    <t xml:space="preserve">Five Card visuals: Total Candidates, In Process, Rejected, Rejection Rate (format as %), Offers Signed.</t>
  </si>
  <si>
    <t xml:space="preserve">Stage chart</t>
  </si>
  <si>
    <t xml:space="preserve">Stacked column chart. X-axis: Stages[Stage]. Y-axis: Passed and Failed.</t>
  </si>
  <si>
    <t xml:space="preserve">Status donut</t>
  </si>
  <si>
    <t xml:space="preserve">Donut chart. Legend: Candidates[Status]. Values: Total Candidates.</t>
  </si>
  <si>
    <t xml:space="preserve">Path chart</t>
  </si>
  <si>
    <t xml:space="preserve">Stacked bar chart. Y-axis: Candidates[Category]. X-axis: Total Candidates. Legend: Candidates[Status].</t>
  </si>
  <si>
    <t xml:space="preserve">Progress grid</t>
  </si>
  <si>
    <t xml:space="preserve">Matrix. Rows: Stages[Candidate]. Columns: Stages[Stage]. Values: Stage Score. Then Format &gt; Cell elements &gt; Background colour &gt; Format style: Field value &gt; Result Colour. This shows every candidate's progress through each stage at a glance.</t>
  </si>
  <si>
    <t xml:space="preserve">Action queue</t>
  </si>
  <si>
    <t xml:space="preserve">Table: Candidates[Name], Candidates[Position], Candidates[Next Step]. Add a visual filter: Status is In process.</t>
  </si>
  <si>
    <t xml:space="preserve">Slicers</t>
  </si>
  <si>
    <t xml:space="preserve">Slicers for Candidates[Category] and Candidates[Position] so you can filter the whole page by hiring path.</t>
  </si>
  <si>
    <t xml:space="preserve">5. Look and refresh</t>
  </si>
  <si>
    <t xml:space="preserve">Theme</t>
  </si>
  <si>
    <t xml:space="preserve">View &gt; Themes &gt; Browse for themes &gt; Hiring_Green_Theme.json (sent with this workbook).</t>
  </si>
  <si>
    <t xml:space="preserve">Refresh</t>
  </si>
  <si>
    <t xml:space="preserve">Edit this workbook, save it, then Home &gt; Refresh in Power BI.</t>
  </si>
  <si>
    <t xml:space="preserve">How this workbook works</t>
  </si>
  <si>
    <t xml:space="preserve">Purpose</t>
  </si>
  <si>
    <t xml:space="preserve">Tracks job candidates through a multi-stage hiring process. Each role follows its own path, and the workbook works out each candidate's next step and whether they have been rejected.</t>
  </si>
  <si>
    <t xml:space="preserve">Tabs</t>
  </si>
  <si>
    <t xml:space="preserve">Dashboard</t>
  </si>
  <si>
    <t xml:space="preserve">Summary numbers and charts. Everything is formula-driven, so it updates when the data changes.</t>
  </si>
  <si>
    <t xml:space="preserve">One row per candidate. Type scores and dates in the white input columns. The grouped columns on the right (AA to AX) hold the logic; click [+] above column AY to show them.</t>
  </si>
  <si>
    <t xml:space="preserve">Passing Scores</t>
  </si>
  <si>
    <t xml:space="preserve">The minimum score needed to pass each stage. Change a yellow cell and every result updates.</t>
  </si>
  <si>
    <t xml:space="preserve">Job Info</t>
  </si>
  <si>
    <t xml:space="preserve">Maps each position to its hiring path (SD, GD or CT).</t>
  </si>
  <si>
    <t xml:space="preserve">Hiring Processes</t>
  </si>
  <si>
    <t xml:space="preserve">The ordered steps for each path. The Candidates tab looks up the next step here.</t>
  </si>
  <si>
    <t xml:space="preserve">Stage_Feed</t>
  </si>
  <si>
    <t xml:space="preserve">A clean table with one row per candidate per stage. Power BI reads this tab.</t>
  </si>
  <si>
    <t xml:space="preserve">Power BI</t>
  </si>
  <si>
    <t xml:space="preserve">Step-by-step notes for building the Power BI version of the dashboard: data load, model, DAX measures and visuals.</t>
  </si>
  <si>
    <t xml:space="preserve">Adding a candidate</t>
  </si>
  <si>
    <t xml:space="preserve">Step 1</t>
  </si>
  <si>
    <t xml:space="preserve">Type the name in the first empty row of the Candidates tab and pick a position from the dropdown.</t>
  </si>
  <si>
    <t xml:space="preserve">Step 2</t>
  </si>
  <si>
    <t xml:space="preserve">Copy the formulas from the row above into the new row for columns B, D, E and AA to AX (select those cells in the last row and drag the fill handle down).</t>
  </si>
  <si>
    <t xml:space="preserve">Step 3</t>
  </si>
  <si>
    <t xml:space="preserve">Enter scores (0 to 10) and dates as each stage finishes. The next step, pass/fail colours and the dashboard update on their own.</t>
  </si>
  <si>
    <t xml:space="preserve">Colour key (Candidates tab)</t>
  </si>
  <si>
    <t xml:space="preserve">Green</t>
  </si>
  <si>
    <t xml:space="preserve">Score meets the pass mark.</t>
  </si>
  <si>
    <t xml:space="preserve">Red</t>
  </si>
  <si>
    <t xml:space="preserve">Score is below the pass mark, or the candidate is rejected (FAIL).</t>
  </si>
  <si>
    <t xml:space="preserve">Orange</t>
  </si>
  <si>
    <t xml:space="preserve">Entry to review: a score outside 0 to 10, or a number typed into a date column.</t>
  </si>
  <si>
    <t xml:space="preserve">Assumptions and limits</t>
  </si>
  <si>
    <t xml:space="preserve">Fictional data</t>
  </si>
  <si>
    <t xml:space="preserve">All candidate names and scores are made up for the MSE 100 assignment.</t>
  </si>
  <si>
    <t xml:space="preserve">Ranges</t>
  </si>
  <si>
    <t xml:space="preserve">The dashboard counts Candidates rows 2 to 500. Stage_Feed covers the first 100 candidates.</t>
  </si>
  <si>
    <t xml:space="preserve">Pass rule</t>
  </si>
  <si>
    <t xml:space="preserve">A candidate fails a stage when a score is entered and it is below the minimum on Passing Scores. A missing score is not a failure.</t>
  </si>
  <si>
    <t xml:space="preserve">Original logic</t>
  </si>
  <si>
    <t xml:space="preserve">The original Candidates formulas (next step, process codes, fail flags) are unchanged.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</si>
</sst>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General"/>
    <numFmt numFmtId="168" formatCode="0;\-0;\–"/>
    <numFmt numFmtId="169" formatCode="yyyy\-mm\-dd"/>
    <numFmt numFmtId="170" formatCode="m/d/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CFE6D4"/>
      <name val="Arial"/>
      <family val="0"/>
      <charset val="1"/>
    </font>
    <font>
      <i val="true"/>
      <sz val="9"/>
      <color rgb="FF4C574F"/>
      <name val="Arial"/>
      <family val="0"/>
      <charset val="1"/>
    </font>
    <font>
      <b val="true"/>
      <sz val="9"/>
      <color rgb="FF4C574F"/>
      <name val="Arial"/>
      <family val="0"/>
      <charset val="1"/>
    </font>
    <font>
      <b val="true"/>
      <sz val="26"/>
      <color rgb="FF1F3D2B"/>
      <name val="Arial"/>
      <family val="0"/>
      <charset val="1"/>
    </font>
    <font>
      <b val="true"/>
      <sz val="12"/>
      <color rgb="FF1F3D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F1B"/>
      <name val="Arial"/>
      <family val="0"/>
      <charset val="1"/>
    </font>
    <font>
      <sz val="10"/>
      <color rgb="FF1A1F1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F3D2B"/>
      <name val="Arial"/>
      <family val="0"/>
      <charset val="1"/>
    </font>
    <font>
      <i val="true"/>
      <sz val="11"/>
      <color theme="1"/>
      <name val="Arial"/>
      <family val="2"/>
      <charset val="1"/>
    </font>
    <font>
      <sz val="9"/>
      <color rgb="FF8A948C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1F3D2B"/>
      <name val="Arial"/>
      <family val="0"/>
      <charset val="1"/>
    </font>
    <font>
      <b val="true"/>
      <sz val="11"/>
      <color rgb="FF2F6B45"/>
      <name val="Arial"/>
      <family val="0"/>
      <charset val="1"/>
    </font>
    <font>
      <sz val="10"/>
      <color rgb="FF1F3D2B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D2B"/>
        <bgColor rgb="FF2A4F38"/>
      </patternFill>
    </fill>
    <fill>
      <patternFill patternType="solid">
        <fgColor rgb="FFE4ECE1"/>
        <bgColor rgb="FFE3E8E1"/>
      </patternFill>
    </fill>
    <fill>
      <patternFill patternType="solid">
        <fgColor rgb="FF4A6B55"/>
        <bgColor rgb="FF4C574F"/>
      </patternFill>
    </fill>
    <fill>
      <patternFill patternType="solid">
        <fgColor theme="9" tint="0.3999"/>
        <bgColor rgb="FFCFD8CC"/>
      </patternFill>
    </fill>
    <fill>
      <patternFill patternType="solid">
        <fgColor rgb="FFFFF2CC"/>
        <bgColor rgb="FFE4ECE1"/>
      </patternFill>
    </fill>
    <fill>
      <patternFill patternType="solid">
        <fgColor rgb="FF2A4F38"/>
        <bgColor rgb="FF1F3D2B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rgb="FFCFD8CC"/>
      </left>
      <right style="thin">
        <color rgb="FFCFD8CC"/>
      </right>
      <top style="medium">
        <color rgb="FF2F6B45"/>
      </top>
      <bottom/>
      <diagonal/>
    </border>
    <border diagonalUp="false" diagonalDown="false">
      <left/>
      <right/>
      <top style="medium">
        <color rgb="FF2F6B45"/>
      </top>
      <bottom/>
      <diagonal/>
    </border>
    <border diagonalUp="false" diagonalDown="false">
      <left style="thin">
        <color rgb="FFCFD8CC"/>
      </left>
      <right style="thin">
        <color rgb="FFCFD8CC"/>
      </right>
      <top/>
      <bottom/>
      <diagonal/>
    </border>
    <border diagonalUp="false" diagonalDown="false">
      <left style="thin">
        <color rgb="FFCFD8CC"/>
      </left>
      <right style="thin">
        <color rgb="FFCFD8CC"/>
      </right>
      <top/>
      <bottom style="thin">
        <color rgb="FFCFD8CC"/>
      </bottom>
      <diagonal/>
    </border>
    <border diagonalUp="false" diagonalDown="false">
      <left/>
      <right/>
      <top/>
      <bottom style="thin">
        <color rgb="FFCFD8CC"/>
      </bottom>
      <diagonal/>
    </border>
    <border diagonalUp="false" diagonalDown="false">
      <left/>
      <right/>
      <top/>
      <bottom style="medium">
        <color rgb="FF2F6B45"/>
      </bottom>
      <diagonal/>
    </border>
    <border diagonalUp="false" diagonalDown="false">
      <left/>
      <right/>
      <top/>
      <bottom style="thin">
        <color rgb="FFE3E8E1"/>
      </bottom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ck"/>
      <right/>
      <top/>
      <bottom style="medium"/>
      <diagonal/>
    </border>
    <border diagonalUp="false" diagonalDown="false">
      <left/>
      <right style="medium"/>
      <top/>
      <bottom style="thick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>
        <color rgb="FFCFD8CC"/>
      </left>
      <right style="thin">
        <color rgb="FFCFD8CC"/>
      </right>
      <top style="thin">
        <color rgb="FFCFD8CC"/>
      </top>
      <bottom style="thin">
        <color rgb="FFCFD8CC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3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3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3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name val="Arial"/>
        <charset val="1"/>
        <family val="0"/>
        <b val="1"/>
        <color rgb="FFB5483A"/>
      </font>
    </dxf>
    <dxf>
      <fill>
        <patternFill patternType="solid">
          <fgColor rgb="FF1F3D2B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6D5D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E2A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F6B45"/>
          <bgColor rgb="FF000000"/>
        </patternFill>
      </fill>
    </dxf>
    <dxf>
      <fill>
        <patternFill patternType="solid">
          <fgColor rgb="FFCFE6D4"/>
          <bgColor rgb="FF000000"/>
        </patternFill>
      </fill>
    </dxf>
    <dxf>
      <fill>
        <patternFill patternType="solid">
          <fgColor rgb="FF1A1F1B"/>
          <bgColor rgb="FF000000"/>
        </patternFill>
      </fill>
    </dxf>
    <dxf>
      <fill>
        <patternFill patternType="solid">
          <fgColor rgb="FFFFE08A"/>
          <bgColor rgb="FF000000"/>
        </patternFill>
      </fill>
    </dxf>
    <dxf>
      <fill>
        <patternFill patternType="solid">
          <fgColor rgb="FF4A6B55"/>
          <bgColor rgb="FF000000"/>
        </patternFill>
      </fill>
    </dxf>
    <dxf>
      <font>
        <name val="Arial"/>
        <charset val="1"/>
        <family val="0"/>
        <color rgb="FF8E2A1E"/>
      </font>
      <fill>
        <patternFill>
          <bgColor rgb="FFF6D5D0"/>
        </patternFill>
      </fill>
    </dxf>
    <dxf>
      <font>
        <name val="Arial"/>
        <charset val="1"/>
        <family val="0"/>
        <b val="1"/>
        <color rgb="FF2F6B45"/>
      </font>
    </dxf>
    <dxf>
      <font>
        <name val="Arial"/>
        <charset val="1"/>
        <family val="0"/>
        <b val="1"/>
        <color rgb="FF1F3D2B"/>
      </font>
      <fill>
        <patternFill>
          <bgColor rgb="FFCFE6D4"/>
        </patternFill>
      </fill>
    </dxf>
    <dxf>
      <font>
        <name val="Arial"/>
        <charset val="1"/>
        <family val="0"/>
        <b val="1"/>
        <color rgb="FF1A1F1B"/>
      </font>
      <fill>
        <patternFill>
          <bgColor rgb="FFFFE08A"/>
        </patternFill>
      </fill>
    </dxf>
    <dxf>
      <font>
        <name val="Arial"/>
        <charset val="1"/>
        <family val="0"/>
        <color rgb="FF1F3D2B"/>
      </font>
      <fill>
        <patternFill>
          <bgColor rgb="FFCFE6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42F"/>
      <rgbColor rgb="FF800080"/>
      <rgbColor rgb="FF2F6B45"/>
      <rgbColor rgb="FFCFD8CC"/>
      <rgbColor rgb="FF8B8B8B"/>
      <rgbColor rgb="FF9999FF"/>
      <rgbColor rgb="FFB5483A"/>
      <rgbColor rgb="FFFFF2CC"/>
      <rgbColor rgb="FFE4ECE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E1"/>
      <rgbColor rgb="FFCFE6D4"/>
      <rgbColor rgb="FFF6D5D0"/>
      <rgbColor rgb="FFA9D18E"/>
      <rgbColor rgb="FFFF99CC"/>
      <rgbColor rgb="FFCC99FF"/>
      <rgbColor rgb="FFFFE08A"/>
      <rgbColor rgb="FF4472C4"/>
      <rgbColor rgb="FF33CCCC"/>
      <rgbColor rgb="FF99CC00"/>
      <rgbColor rgb="FFFFCC00"/>
      <rgbColor rgb="FFFF9900"/>
      <rgbColor rgb="FFFF6600"/>
      <rgbColor rgb="FF4A6B55"/>
      <rgbColor rgb="FF8A948C"/>
      <rgbColor rgb="FF2A4F38"/>
      <rgbColor rgb="FF339966"/>
      <rgbColor rgb="FF003300"/>
      <rgbColor rgb="FF1A1F1B"/>
      <rgbColor rgb="FF8E2A1E"/>
      <rgbColor rgb="FF993366"/>
      <rgbColor rgb="FF4C574F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Results at each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Dashboard!D9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2f6b45"/>
            </a:solidFill>
            <a:ln w="0">
              <a:solidFill>
                <a:srgbClr val="2f6b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Dashboard!$B$10:$B$16</c:f>
              <c:strCache>
                <c:ptCount val="7"/>
                <c:pt idx="0">
                  <c:v>Resume Review</c:v>
                </c:pt>
                <c:pt idx="1">
                  <c:v>Tech Assessment</c:v>
                </c:pt>
                <c:pt idx="2">
                  <c:v>Initial Meeting</c:v>
                </c:pt>
                <c:pt idx="3">
                  <c:v>Portfolio</c:v>
                </c:pt>
                <c:pt idx="4">
                  <c:v>Personality Assessment</c:v>
                </c:pt>
                <c:pt idx="5">
                  <c:v>Technical Interview</c:v>
                </c:pt>
                <c:pt idx="6">
                  <c:v>Final Interview</c:v>
                </c:pt>
              </c:strCache>
            </c:strRef>
          </c:cat>
          <c:val>
            <c:numRef>
              <c:f>Dashboard!$D$10:$D$16</c:f>
              <c:numCache>
                <c:formatCode>General</c:formatCode>
                <c:ptCount val="7"/>
                <c:pt idx="0">
                  <c:v>22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Dashboard!E9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b5483a"/>
            </a:solidFill>
            <a:ln w="0">
              <a:solidFill>
                <a:srgbClr val="b5483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Dashboard!$B$10:$B$16</c:f>
              <c:strCache>
                <c:ptCount val="7"/>
                <c:pt idx="0">
                  <c:v>Resume Review</c:v>
                </c:pt>
                <c:pt idx="1">
                  <c:v>Tech Assessment</c:v>
                </c:pt>
                <c:pt idx="2">
                  <c:v>Initial Meeting</c:v>
                </c:pt>
                <c:pt idx="3">
                  <c:v>Portfolio</c:v>
                </c:pt>
                <c:pt idx="4">
                  <c:v>Personality Assessment</c:v>
                </c:pt>
                <c:pt idx="5">
                  <c:v>Technical Interview</c:v>
                </c:pt>
                <c:pt idx="6">
                  <c:v>Final Interview</c:v>
                </c:pt>
              </c:strCache>
            </c:strRef>
          </c:cat>
          <c:val>
            <c:numRef>
              <c:f>Dashboard!$E$10:$E$16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55"/>
        <c:overlap val="100"/>
        <c:axId val="82411424"/>
        <c:axId val="42027183"/>
      </c:barChart>
      <c:catAx>
        <c:axId val="824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27183"/>
        <c:crosses val="autoZero"/>
        <c:auto val="1"/>
        <c:lblAlgn val="ctr"/>
        <c:lblOffset val="100"/>
        <c:noMultiLvlLbl val="0"/>
      </c:catAx>
      <c:valAx>
        <c:axId val="4202718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114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Dashboard!C19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6b4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5483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8842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Dashboard!$B$20:$B$22</c:f>
              <c:strCache>
                <c:ptCount val="3"/>
                <c:pt idx="0">
                  <c:v>In process</c:v>
                </c:pt>
                <c:pt idx="1">
                  <c:v>Rejected</c:v>
                </c:pt>
                <c:pt idx="2">
                  <c:v>Offer signed</c:v>
                </c:pt>
              </c:strCache>
            </c:strRef>
          </c:cat>
          <c:val>
            <c:numRef>
              <c:f>Dashboard!$C$20:$C$22</c:f>
              <c:numCache>
                <c:formatCode>0</c:formatCode>
                <c:ptCount val="3"/>
                <c:pt idx="0">
                  <c:v>18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Applicants by hiring path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Dashboard!D25</c:f>
              <c:strCache>
                <c:ptCount val="1"/>
                <c:pt idx="0">
                  <c:v>Not rejected</c:v>
                </c:pt>
              </c:strCache>
            </c:strRef>
          </c:tx>
          <c:spPr>
            <a:solidFill>
              <a:srgbClr val="2f6b45"/>
            </a:solidFill>
            <a:ln w="0">
              <a:solidFill>
                <a:srgbClr val="2f6b45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Dashboard!$B$26:$B$28</c:f>
              <c:strCache>
                <c:ptCount val="3"/>
                <c:pt idx="0">
                  <c:v>Software Developer</c:v>
                </c:pt>
                <c:pt idx="1">
                  <c:v>Graphic Designer</c:v>
                </c:pt>
                <c:pt idx="2">
                  <c:v>Commercial Team</c:v>
                </c:pt>
              </c:strCache>
            </c:strRef>
          </c:cat>
          <c:val>
            <c:numRef>
              <c:f>Dashboard!$D$26:$D$28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Dashboard!E25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b5483a"/>
            </a:solidFill>
            <a:ln w="0">
              <a:solidFill>
                <a:srgbClr val="b5483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Dashboard!$B$26:$B$28</c:f>
              <c:strCache>
                <c:ptCount val="3"/>
                <c:pt idx="0">
                  <c:v>Software Developer</c:v>
                </c:pt>
                <c:pt idx="1">
                  <c:v>Graphic Designer</c:v>
                </c:pt>
                <c:pt idx="2">
                  <c:v>Commercial Team</c:v>
                </c:pt>
              </c:strCache>
            </c:strRef>
          </c:cat>
          <c:val>
            <c:numRef>
              <c:f>Dashboard!$E$26:$E$28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</c:ser>
        <c:gapWidth val="55"/>
        <c:overlap val="100"/>
        <c:axId val="29022236"/>
        <c:axId val="48942611"/>
      </c:barChart>
      <c:catAx>
        <c:axId val="29022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42611"/>
        <c:crosses val="autoZero"/>
        <c:auto val="1"/>
        <c:lblAlgn val="ctr"/>
        <c:lblOffset val="100"/>
        <c:noMultiLvlLbl val="0"/>
      </c:catAx>
      <c:valAx>
        <c:axId val="4894261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222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7</xdr:row>
      <xdr:rowOff>0</xdr:rowOff>
    </xdr:from>
    <xdr:to>
      <xdr:col>17</xdr:col>
      <xdr:colOff>60840</xdr:colOff>
      <xdr:row>21</xdr:row>
      <xdr:rowOff>17640</xdr:rowOff>
    </xdr:to>
    <xdr:graphicFrame>
      <xdr:nvGraphicFramePr>
        <xdr:cNvPr id="0" name="Chart 1"/>
        <xdr:cNvGraphicFramePr/>
      </xdr:nvGraphicFramePr>
      <xdr:xfrm>
        <a:off x="7119000" y="2190600"/>
        <a:ext cx="6263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12</xdr:col>
      <xdr:colOff>697680</xdr:colOff>
      <xdr:row>36</xdr:row>
      <xdr:rowOff>110880</xdr:rowOff>
    </xdr:to>
    <xdr:graphicFrame>
      <xdr:nvGraphicFramePr>
        <xdr:cNvPr id="1" name="Chart 2"/>
        <xdr:cNvGraphicFramePr/>
      </xdr:nvGraphicFramePr>
      <xdr:xfrm>
        <a:off x="7119000" y="5695920"/>
        <a:ext cx="302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24</xdr:row>
      <xdr:rowOff>0</xdr:rowOff>
    </xdr:from>
    <xdr:to>
      <xdr:col>17</xdr:col>
      <xdr:colOff>138240</xdr:colOff>
      <xdr:row>36</xdr:row>
      <xdr:rowOff>110880</xdr:rowOff>
    </xdr:to>
    <xdr:graphicFrame>
      <xdr:nvGraphicFramePr>
        <xdr:cNvPr id="2" name="Chart 3"/>
        <xdr:cNvGraphicFramePr/>
      </xdr:nvGraphicFramePr>
      <xdr:xfrm>
        <a:off x="10220400" y="5695920"/>
        <a:ext cx="323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ndidates" displayName="tblCandidates" ref="A1:AX30" headerRowCount="1" totalsRowCount="0" totalsRowShown="0">
  <autoFilter ref="A1:AX30"/>
  <tableColumns count="50">
    <tableColumn id="1" name="Name"/>
    <tableColumn id="2" name="Next Step"/>
    <tableColumn id="3" name="Position Applied"/>
    <tableColumn id="4" name="Category"/>
    <tableColumn id="5" name="Exceeds Expectations?"/>
    <tableColumn id="6" name="Resume Score"/>
    <tableColumn id="7" name="Send Tech Assessment"/>
    <tableColumn id="8" name="Tech Assessment Done"/>
    <tableColumn id="9" name="Tech Assessment Score"/>
    <tableColumn id="10" name="Initial Meeting Scheduled"/>
    <tableColumn id="11" name="Initial Meeting Conducted"/>
    <tableColumn id="12" name="Initial Meeting Score"/>
    <tableColumn id="13" name="Portfolio Requested"/>
    <tableColumn id="14" name="Portfolio Received"/>
    <tableColumn id="15" name="Portfolio Score"/>
    <tableColumn id="16" name="Personality Assessment Sent"/>
    <tableColumn id="17" name="Personality Assessment Done"/>
    <tableColumn id="18" name="Personality Assessment Score"/>
    <tableColumn id="19" name="Tech Interview Scheduled"/>
    <tableColumn id="20" name="Tech Interview Conducted"/>
    <tableColumn id="21" name="Tech Interview Score"/>
    <tableColumn id="22" name="Final Interview Scheduled"/>
    <tableColumn id="23" name="Final Interview Conducted"/>
    <tableColumn id="24" name="Final Interview Score"/>
    <tableColumn id="25" name="Offer Sent"/>
    <tableColumn id="26" name="Offer Signed"/>
    <tableColumn id="27" name="Base Process Code"/>
    <tableColumn id="28" name="Exceeding Code"/>
    <tableColumn id="29" name="Full Process Code"/>
    <tableColumn id="30" name="# Steps Complete"/>
    <tableColumn id="31" name="Process Column"/>
    <tableColumn id="32" name="Relevant Row"/>
    <tableColumn id="33" name="Active Status"/>
    <tableColumn id="34" name="Actual Status"/>
    <tableColumn id="35" name="Resume Fail"/>
    <tableColumn id="36" name="Tech Assessment Fail"/>
    <tableColumn id="37" name="Initial Meeting Fail"/>
    <tableColumn id="38" name="Portfolio Fail"/>
    <tableColumn id="39" name="Personality Fail"/>
    <tableColumn id="40" name="Tech Interview Fail"/>
    <tableColumn id="41" name="Final Interview Fail"/>
    <tableColumn id="42" name="Overall Fail"/>
    <tableColumn id="43" name="Min Resume Score"/>
    <tableColumn id="44" name="Exceeding Resume Score"/>
    <tableColumn id="45" name="Min Tech Assessment"/>
    <tableColumn id="46" name="Min Initial Meeting"/>
    <tableColumn id="47" name="Min Portfolio"/>
    <tableColumn id="48" name="Min Personality Assessment"/>
    <tableColumn id="49" name="Min Tech Interview"/>
    <tableColumn id="50" name="Min Final Interview"/>
  </tableColumns>
</table>
</file>

<file path=xl/tables/table2.xml><?xml version="1.0" encoding="utf-8"?>
<table xmlns="http://schemas.openxmlformats.org/spreadsheetml/2006/main" id="2" name="tblStageFeed" displayName="tblStageFeed" ref="A1:I701" headerRowCount="1" totalsRowCount="0" totalsRowShown="0">
  <autoFilter ref="A1:I701"/>
  <tableColumns count="9">
    <tableColumn id="1" name="Candidate"/>
    <tableColumn id="2" name="Position"/>
    <tableColumn id="3" name="Category"/>
    <tableColumn id="4" name="Stage Order"/>
    <tableColumn id="5" name="Stage"/>
    <tableColumn id="6" name="Score"/>
    <tableColumn id="7" name="Min Score"/>
    <tableColumn id="8" name="Result"/>
    <tableColumn id="9" name="Next Step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D2B"/>
    <pageSetUpPr fitToPage="true"/>
  </sheetPr>
  <dimension ref="A1:R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1"/>
    <col collapsed="false" customWidth="true" hidden="false" outlineLevel="0" max="9" min="9" style="0" width="3"/>
    <col collapsed="false" customWidth="true" hidden="false" outlineLevel="0" max="17" min="10" style="0" width="11"/>
    <col collapsed="false" customWidth="true" hidden="false" outlineLevel="0" max="18" min="18" style="0" width="2"/>
  </cols>
  <sheetData>
    <row r="1" customFormat="false" ht="37.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B3" s="4" t="s">
        <v>2</v>
      </c>
    </row>
    <row r="4" customFormat="false" ht="21.75" hidden="false" customHeight="true" outlineLevel="0" collapsed="false">
      <c r="B4" s="5" t="s">
        <v>3</v>
      </c>
      <c r="C4" s="5" t="s">
        <v>4</v>
      </c>
      <c r="D4" s="5"/>
      <c r="E4" s="5"/>
      <c r="F4" s="5" t="s">
        <v>5</v>
      </c>
      <c r="G4" s="5"/>
      <c r="H4" s="5"/>
      <c r="I4" s="6"/>
      <c r="J4" s="5" t="s">
        <v>6</v>
      </c>
      <c r="K4" s="5"/>
      <c r="L4" s="5"/>
      <c r="M4" s="5" t="s">
        <v>7</v>
      </c>
      <c r="N4" s="5"/>
      <c r="O4" s="5"/>
      <c r="P4" s="5"/>
      <c r="Q4" s="5"/>
    </row>
    <row r="5" customFormat="false" ht="42" hidden="false" customHeight="true" outlineLevel="0" collapsed="false">
      <c r="B5" s="7" t="n">
        <f aca="false">COUNTA(Candidates!$A$2:$A$500)</f>
        <v>29</v>
      </c>
      <c r="C5" s="7" t="n">
        <f aca="false">B5-F5-C22</f>
        <v>18</v>
      </c>
      <c r="D5" s="7"/>
      <c r="E5" s="7"/>
      <c r="F5" s="7" t="n">
        <f aca="false">COUNTIF(Candidates!$B$2:$B$500,"FAIL")</f>
        <v>11</v>
      </c>
      <c r="G5" s="7"/>
      <c r="H5" s="7"/>
      <c r="I5" s="8"/>
      <c r="J5" s="9" t="n">
        <f aca="false">IFERROR(F5/B5,0)</f>
        <v>0.379310344827586</v>
      </c>
      <c r="K5" s="9"/>
      <c r="L5" s="9"/>
      <c r="M5" s="7" t="n">
        <f aca="false">COUNTIF(Candidates!F$2:F$500,"&gt;10")+COUNTIF(Candidates!F$2:F$500,"&lt;0")+COUNTIF(Candidates!I$2:I$500,"&gt;10")+COUNTIF(Candidates!I$2:I$500,"&lt;0")+COUNTIF(Candidates!L$2:L$500,"&gt;10")+COUNTIF(Candidates!L$2:L$500,"&lt;0")+COUNTIF(Candidates!O$2:O$500,"&gt;10")+COUNTIF(Candidates!O$2:O$500,"&lt;0")+COUNTIF(Candidates!R$2:R$500,"&gt;10")+COUNTIF(Candidates!R$2:R$500,"&lt;0")+COUNTIF(Candidates!U$2:U$500,"&gt;10")+COUNTIF(Candidates!U$2:U$500,"&lt;0")+COUNTIF(Candidates!X$2:X$500,"&gt;10")+COUNTIF(Candidates!X$2:X$500,"&lt;0")+COUNTIF(Candidates!G$2:G$500,"&lt;36526")+COUNTIF(Candidates!H$2:H$500,"&lt;36526")+COUNTIF(Candidates!J$2:J$500,"&lt;36526")+COUNTIF(Candidates!K$2:K$500,"&lt;36526")+COUNTIF(Candidates!M$2:M$500,"&lt;36526")+COUNTIF(Candidates!N$2:N$500,"&lt;36526")+COUNTIF(Candidates!P$2:P$500,"&lt;36526")+COUNTIF(Candidates!Q$2:Q$500,"&lt;36526")+COUNTIF(Candidates!S$2:S$500,"&lt;36526")+COUNTIF(Candidates!T$2:T$500,"&lt;36526")+COUNTIF(Candidates!V$2:V$500,"&lt;36526")+COUNTIF(Candidates!W$2:W$500,"&lt;36526")+COUNTIF(Candidates!Y$2:Y$500,"&lt;36526")+COUNTIF(Candidates!Z$2:Z$500,"&lt;36526")</f>
        <v>4</v>
      </c>
      <c r="N5" s="7"/>
      <c r="O5" s="7"/>
      <c r="P5" s="7"/>
      <c r="Q5" s="7"/>
    </row>
    <row r="6" customFormat="false" ht="19.5" hidden="false" customHeight="true" outlineLevel="0" collapsed="false">
      <c r="B6" s="10" t="s">
        <v>8</v>
      </c>
      <c r="C6" s="10" t="s">
        <v>9</v>
      </c>
      <c r="D6" s="10"/>
      <c r="E6" s="10"/>
      <c r="F6" s="10" t="s">
        <v>10</v>
      </c>
      <c r="G6" s="10"/>
      <c r="H6" s="10"/>
      <c r="I6" s="11"/>
      <c r="J6" s="10" t="s">
        <v>11</v>
      </c>
      <c r="K6" s="10"/>
      <c r="L6" s="10"/>
      <c r="M6" s="10" t="s">
        <v>12</v>
      </c>
      <c r="N6" s="10"/>
      <c r="O6" s="10"/>
      <c r="P6" s="10"/>
      <c r="Q6" s="10"/>
    </row>
    <row r="8" customFormat="false" ht="15" hidden="false" customHeight="false" outlineLevel="0" collapsed="false">
      <c r="B8" s="12" t="s">
        <v>13</v>
      </c>
      <c r="C8" s="13"/>
      <c r="D8" s="13"/>
      <c r="E8" s="13"/>
      <c r="F8" s="13"/>
      <c r="G8" s="13"/>
      <c r="H8" s="13"/>
    </row>
    <row r="9" customFormat="false" ht="25.5" hidden="false" customHeight="true" outlineLevel="0" collapsed="false">
      <c r="B9" s="14" t="s">
        <v>14</v>
      </c>
      <c r="C9" s="15" t="s">
        <v>15</v>
      </c>
      <c r="D9" s="15" t="s">
        <v>16</v>
      </c>
      <c r="E9" s="15" t="s">
        <v>17</v>
      </c>
      <c r="F9" s="15" t="s">
        <v>18</v>
      </c>
      <c r="G9" s="15" t="s">
        <v>19</v>
      </c>
    </row>
    <row r="10" customFormat="false" ht="15" hidden="false" customHeight="false" outlineLevel="0" collapsed="false">
      <c r="B10" s="16" t="s">
        <v>20</v>
      </c>
      <c r="C10" s="17" t="n">
        <f aca="false">COUNT(Candidates!F$2:F$500)</f>
        <v>29</v>
      </c>
      <c r="D10" s="17" t="n">
        <f aca="false">C10-E10</f>
        <v>22</v>
      </c>
      <c r="E10" s="17" t="n">
        <f aca="false">COUNTIF(Candidates!AI$2:AI$500,TRUE)</f>
        <v>7</v>
      </c>
      <c r="F10" s="18" t="n">
        <f aca="false">IFERROR(D10/C10,0)</f>
        <v>0.758620689655172</v>
      </c>
      <c r="G10" s="17" t="n">
        <f aca="false">'Passing Scores'!$B$1</f>
        <v>5</v>
      </c>
    </row>
    <row r="11" customFormat="false" ht="15" hidden="false" customHeight="false" outlineLevel="0" collapsed="false">
      <c r="B11" s="16" t="s">
        <v>21</v>
      </c>
      <c r="C11" s="17" t="n">
        <f aca="false">COUNT(Candidates!I$2:I$500)</f>
        <v>2</v>
      </c>
      <c r="D11" s="17" t="n">
        <f aca="false">C11-E11</f>
        <v>1</v>
      </c>
      <c r="E11" s="17" t="n">
        <f aca="false">COUNTIF(Candidates!AJ$2:AJ$500,TRUE)</f>
        <v>1</v>
      </c>
      <c r="F11" s="18" t="n">
        <f aca="false">IFERROR(D11/C11,0)</f>
        <v>0.5</v>
      </c>
      <c r="G11" s="17" t="n">
        <f aca="false">'Passing Scores'!$B$3</f>
        <v>7</v>
      </c>
    </row>
    <row r="12" customFormat="false" ht="15" hidden="false" customHeight="false" outlineLevel="0" collapsed="false">
      <c r="B12" s="16" t="s">
        <v>22</v>
      </c>
      <c r="C12" s="17" t="n">
        <f aca="false">COUNT(Candidates!L$2:L$500)</f>
        <v>3</v>
      </c>
      <c r="D12" s="17" t="n">
        <f aca="false">C12-E12</f>
        <v>2</v>
      </c>
      <c r="E12" s="17" t="n">
        <f aca="false">COUNTIF(Candidates!AK$2:AK$500,TRUE)</f>
        <v>1</v>
      </c>
      <c r="F12" s="18" t="n">
        <f aca="false">IFERROR(D12/C12,0)</f>
        <v>0.666666666666667</v>
      </c>
      <c r="G12" s="17" t="n">
        <f aca="false">'Passing Scores'!$B$4</f>
        <v>6</v>
      </c>
    </row>
    <row r="13" customFormat="false" ht="15" hidden="false" customHeight="false" outlineLevel="0" collapsed="false">
      <c r="B13" s="16" t="s">
        <v>23</v>
      </c>
      <c r="C13" s="17" t="n">
        <f aca="false">COUNT(Candidates!O$2:O$500)</f>
        <v>1</v>
      </c>
      <c r="D13" s="17" t="n">
        <f aca="false">C13-E13</f>
        <v>0</v>
      </c>
      <c r="E13" s="17" t="n">
        <f aca="false">COUNTIF(Candidates!AL$2:AL$500,TRUE)</f>
        <v>1</v>
      </c>
      <c r="F13" s="18" t="n">
        <f aca="false">IFERROR(D13/C13,0)</f>
        <v>0</v>
      </c>
      <c r="G13" s="17" t="n">
        <f aca="false">'Passing Scores'!$B$5</f>
        <v>7</v>
      </c>
    </row>
    <row r="14" customFormat="false" ht="15" hidden="false" customHeight="false" outlineLevel="0" collapsed="false">
      <c r="B14" s="16" t="s">
        <v>24</v>
      </c>
      <c r="C14" s="17" t="n">
        <f aca="false">COUNT(Candidates!R$2:R$500)</f>
        <v>7</v>
      </c>
      <c r="D14" s="17" t="n">
        <f aca="false">C14-E14</f>
        <v>2</v>
      </c>
      <c r="E14" s="17" t="n">
        <f aca="false">COUNTIF(Candidates!AM$2:AM$500,TRUE)</f>
        <v>5</v>
      </c>
      <c r="F14" s="18" t="n">
        <f aca="false">IFERROR(D14/C14,0)</f>
        <v>0.285714285714286</v>
      </c>
      <c r="G14" s="17" t="n">
        <f aca="false">'Passing Scores'!$B$6</f>
        <v>6</v>
      </c>
    </row>
    <row r="15" customFormat="false" ht="15" hidden="false" customHeight="false" outlineLevel="0" collapsed="false">
      <c r="B15" s="16" t="s">
        <v>25</v>
      </c>
      <c r="C15" s="17" t="n">
        <f aca="false">COUNT(Candidates!U$2:U$500)</f>
        <v>1</v>
      </c>
      <c r="D15" s="17" t="n">
        <f aca="false">C15-E15</f>
        <v>0</v>
      </c>
      <c r="E15" s="17" t="n">
        <f aca="false">COUNTIF(Candidates!AN$2:AN$500,TRUE)</f>
        <v>1</v>
      </c>
      <c r="F15" s="18" t="n">
        <f aca="false">IFERROR(D15/C15,0)</f>
        <v>0</v>
      </c>
      <c r="G15" s="17" t="n">
        <f aca="false">'Passing Scores'!$B$7</f>
        <v>8</v>
      </c>
    </row>
    <row r="16" customFormat="false" ht="15" hidden="false" customHeight="false" outlineLevel="0" collapsed="false">
      <c r="B16" s="16" t="s">
        <v>26</v>
      </c>
      <c r="C16" s="17" t="n">
        <f aca="false">COUNT(Candidates!X$2:X$500)</f>
        <v>2</v>
      </c>
      <c r="D16" s="17" t="n">
        <f aca="false">C16-E16</f>
        <v>1</v>
      </c>
      <c r="E16" s="17" t="n">
        <f aca="false">COUNTIF(Candidates!AO$2:AO$500,TRUE)</f>
        <v>1</v>
      </c>
      <c r="F16" s="18" t="n">
        <f aca="false">IFERROR(D16/C16,0)</f>
        <v>0.5</v>
      </c>
      <c r="G16" s="17" t="n">
        <f aca="false">'Passing Scores'!$B$8</f>
        <v>8</v>
      </c>
    </row>
    <row r="18" customFormat="false" ht="15" hidden="false" customHeight="false" outlineLevel="0" collapsed="false">
      <c r="B18" s="12" t="s">
        <v>27</v>
      </c>
      <c r="C18" s="13"/>
      <c r="D18" s="13"/>
      <c r="E18" s="13"/>
      <c r="F18" s="13"/>
      <c r="G18" s="13"/>
      <c r="H18" s="13"/>
    </row>
    <row r="19" customFormat="false" ht="25.5" hidden="false" customHeight="true" outlineLevel="0" collapsed="false">
      <c r="B19" s="14" t="s">
        <v>28</v>
      </c>
      <c r="C19" s="15" t="s">
        <v>29</v>
      </c>
    </row>
    <row r="20" customFormat="false" ht="15" hidden="false" customHeight="false" outlineLevel="0" collapsed="false">
      <c r="B20" s="16" t="s">
        <v>30</v>
      </c>
      <c r="C20" s="19" t="n">
        <f aca="false">C5</f>
        <v>18</v>
      </c>
    </row>
    <row r="21" customFormat="false" ht="15" hidden="false" customHeight="false" outlineLevel="0" collapsed="false">
      <c r="B21" s="16" t="s">
        <v>31</v>
      </c>
      <c r="C21" s="19" t="n">
        <f aca="false">F5</f>
        <v>11</v>
      </c>
    </row>
    <row r="22" customFormat="false" ht="15" hidden="false" customHeight="false" outlineLevel="0" collapsed="false">
      <c r="B22" s="16" t="s">
        <v>32</v>
      </c>
      <c r="C22" s="17" t="n">
        <f aca="false">COUNT(Candidates!$Z$2:$Z$500)</f>
        <v>0</v>
      </c>
    </row>
    <row r="24" customFormat="false" ht="15" hidden="false" customHeight="false" outlineLevel="0" collapsed="false">
      <c r="B24" s="12" t="s">
        <v>33</v>
      </c>
      <c r="C24" s="13"/>
      <c r="D24" s="13"/>
      <c r="E24" s="13"/>
      <c r="F24" s="13"/>
      <c r="G24" s="13"/>
      <c r="H24" s="13"/>
    </row>
    <row r="25" customFormat="false" ht="25.5" hidden="false" customHeight="true" outlineLevel="0" collapsed="false">
      <c r="B25" s="14" t="s">
        <v>34</v>
      </c>
      <c r="C25" s="15" t="s">
        <v>35</v>
      </c>
      <c r="D25" s="15" t="s">
        <v>36</v>
      </c>
      <c r="E25" s="15" t="s">
        <v>31</v>
      </c>
      <c r="F25" s="15" t="s">
        <v>37</v>
      </c>
    </row>
    <row r="26" customFormat="false" ht="15" hidden="false" customHeight="false" outlineLevel="0" collapsed="false">
      <c r="B26" s="16" t="s">
        <v>38</v>
      </c>
      <c r="C26" s="17" t="n">
        <f aca="false">COUNTIF(Candidates!$D$2:$D$500,B26)</f>
        <v>12</v>
      </c>
      <c r="D26" s="17" t="n">
        <f aca="false">C26-E26</f>
        <v>8</v>
      </c>
      <c r="E26" s="17" t="n">
        <f aca="false">COUNTIFS(Candidates!$D$2:$D$500,B26,Candidates!$B$2:$B$500,"FAIL")</f>
        <v>4</v>
      </c>
      <c r="F26" s="18" t="n">
        <f aca="false">IFERROR(E26/C26,0)</f>
        <v>0.333333333333333</v>
      </c>
    </row>
    <row r="27" customFormat="false" ht="15" hidden="false" customHeight="false" outlineLevel="0" collapsed="false">
      <c r="B27" s="16" t="s">
        <v>39</v>
      </c>
      <c r="C27" s="17" t="n">
        <f aca="false">COUNTIF(Candidates!$D$2:$D$500,B27)</f>
        <v>10</v>
      </c>
      <c r="D27" s="17" t="n">
        <f aca="false">C27-E27</f>
        <v>6</v>
      </c>
      <c r="E27" s="17" t="n">
        <f aca="false">COUNTIFS(Candidates!$D$2:$D$500,B27,Candidates!$B$2:$B$500,"FAIL")</f>
        <v>4</v>
      </c>
      <c r="F27" s="18" t="n">
        <f aca="false">IFERROR(E27/C27,0)</f>
        <v>0.4</v>
      </c>
    </row>
    <row r="28" customFormat="false" ht="15" hidden="false" customHeight="false" outlineLevel="0" collapsed="false">
      <c r="B28" s="16" t="s">
        <v>40</v>
      </c>
      <c r="C28" s="17" t="n">
        <f aca="false">COUNTIF(Candidates!$D$2:$D$500,B28)</f>
        <v>7</v>
      </c>
      <c r="D28" s="17" t="n">
        <f aca="false">C28-E28</f>
        <v>4</v>
      </c>
      <c r="E28" s="17" t="n">
        <f aca="false">COUNTIFS(Candidates!$D$2:$D$500,B28,Candidates!$B$2:$B$500,"FAIL")</f>
        <v>3</v>
      </c>
      <c r="F28" s="18" t="n">
        <f aca="false">IFERROR(E28/C28,0)</f>
        <v>0.428571428571429</v>
      </c>
    </row>
    <row r="30" customFormat="false" ht="15" hidden="false" customHeight="false" outlineLevel="0" collapsed="false">
      <c r="B30" s="12" t="s">
        <v>41</v>
      </c>
      <c r="C30" s="13"/>
      <c r="D30" s="13"/>
      <c r="E30" s="13"/>
      <c r="F30" s="13"/>
      <c r="G30" s="13"/>
      <c r="H30" s="13"/>
    </row>
    <row r="31" customFormat="false" ht="25.5" hidden="false" customHeight="true" outlineLevel="0" collapsed="false">
      <c r="B31" s="14" t="s">
        <v>42</v>
      </c>
      <c r="C31" s="15" t="s">
        <v>29</v>
      </c>
    </row>
    <row r="32" customFormat="false" ht="15" hidden="false" customHeight="false" outlineLevel="0" collapsed="false">
      <c r="B32" s="20" t="s">
        <v>43</v>
      </c>
      <c r="C32" s="21" t="n">
        <f aca="false">COUNTIF(Candidates!$B$2:$B$500,B32)</f>
        <v>0</v>
      </c>
    </row>
    <row r="33" customFormat="false" ht="15" hidden="false" customHeight="false" outlineLevel="0" collapsed="false">
      <c r="B33" s="20" t="s">
        <v>44</v>
      </c>
      <c r="C33" s="21" t="n">
        <f aca="false">COUNTIF(Candidates!$B$2:$B$500,B33)</f>
        <v>7</v>
      </c>
    </row>
    <row r="34" customFormat="false" ht="15" hidden="false" customHeight="false" outlineLevel="0" collapsed="false">
      <c r="B34" s="20" t="s">
        <v>45</v>
      </c>
      <c r="C34" s="21" t="n">
        <f aca="false">COUNTIF(Candidates!$B$2:$B$500,B34)</f>
        <v>0</v>
      </c>
    </row>
    <row r="35" customFormat="false" ht="15" hidden="false" customHeight="false" outlineLevel="0" collapsed="false">
      <c r="B35" s="20" t="s">
        <v>46</v>
      </c>
      <c r="C35" s="21" t="n">
        <f aca="false">COUNTIF(Candidates!$B$2:$B$500,B35)</f>
        <v>0</v>
      </c>
    </row>
    <row r="36" customFormat="false" ht="15" hidden="false" customHeight="false" outlineLevel="0" collapsed="false">
      <c r="B36" s="20" t="s">
        <v>47</v>
      </c>
      <c r="C36" s="21" t="n">
        <f aca="false">COUNTIF(Candidates!$B$2:$B$500,B36)</f>
        <v>3</v>
      </c>
    </row>
    <row r="37" customFormat="false" ht="15" hidden="false" customHeight="false" outlineLevel="0" collapsed="false">
      <c r="B37" s="20" t="s">
        <v>48</v>
      </c>
      <c r="C37" s="21" t="n">
        <f aca="false">COUNTIF(Candidates!$B$2:$B$500,B37)</f>
        <v>1</v>
      </c>
    </row>
    <row r="38" customFormat="false" ht="15" hidden="false" customHeight="false" outlineLevel="0" collapsed="false">
      <c r="B38" s="20" t="s">
        <v>49</v>
      </c>
      <c r="C38" s="21" t="n">
        <f aca="false">COUNTIF(Candidates!$B$2:$B$500,B38)</f>
        <v>0</v>
      </c>
    </row>
    <row r="39" customFormat="false" ht="15" hidden="false" customHeight="false" outlineLevel="0" collapsed="false">
      <c r="B39" s="20" t="s">
        <v>50</v>
      </c>
      <c r="C39" s="21" t="n">
        <f aca="false">COUNTIF(Candidates!$B$2:$B$500,B39)</f>
        <v>4</v>
      </c>
    </row>
    <row r="40" customFormat="false" ht="15" hidden="false" customHeight="false" outlineLevel="0" collapsed="false">
      <c r="B40" s="20" t="s">
        <v>51</v>
      </c>
      <c r="C40" s="21" t="n">
        <f aca="false">COUNTIF(Candidates!$B$2:$B$500,B40)</f>
        <v>1</v>
      </c>
    </row>
    <row r="41" customFormat="false" ht="15" hidden="false" customHeight="false" outlineLevel="0" collapsed="false">
      <c r="B41" s="20" t="s">
        <v>52</v>
      </c>
      <c r="C41" s="21" t="n">
        <f aca="false">COUNTIF(Candidates!$B$2:$B$500,B41)</f>
        <v>0</v>
      </c>
    </row>
    <row r="42" customFormat="false" ht="15" hidden="false" customHeight="false" outlineLevel="0" collapsed="false">
      <c r="B42" s="20" t="s">
        <v>53</v>
      </c>
      <c r="C42" s="21" t="n">
        <f aca="false">COUNTIF(Candidates!$B$2:$B$500,B42)</f>
        <v>1</v>
      </c>
    </row>
    <row r="43" customFormat="false" ht="15" hidden="false" customHeight="false" outlineLevel="0" collapsed="false">
      <c r="B43" s="20" t="s">
        <v>54</v>
      </c>
      <c r="C43" s="21" t="n">
        <f aca="false">COUNTIF(Candidates!$B$2:$B$500,B43)</f>
        <v>0</v>
      </c>
    </row>
    <row r="44" customFormat="false" ht="15" hidden="false" customHeight="false" outlineLevel="0" collapsed="false">
      <c r="B44" s="20" t="s">
        <v>55</v>
      </c>
      <c r="C44" s="21" t="n">
        <f aca="false">COUNTIF(Candidates!$B$2:$B$500,B44)</f>
        <v>0</v>
      </c>
    </row>
    <row r="45" customFormat="false" ht="15" hidden="false" customHeight="false" outlineLevel="0" collapsed="false">
      <c r="B45" s="20" t="s">
        <v>56</v>
      </c>
      <c r="C45" s="21" t="n">
        <f aca="false">COUNTIF(Candidates!$B$2:$B$500,B45)</f>
        <v>0</v>
      </c>
    </row>
    <row r="46" customFormat="false" ht="15" hidden="false" customHeight="false" outlineLevel="0" collapsed="false">
      <c r="B46" s="20" t="s">
        <v>57</v>
      </c>
      <c r="C46" s="21" t="n">
        <f aca="false">COUNTIF(Candidates!$B$2:$B$500,B46)</f>
        <v>0</v>
      </c>
    </row>
    <row r="47" customFormat="false" ht="15" hidden="false" customHeight="false" outlineLevel="0" collapsed="false">
      <c r="B47" s="20" t="s">
        <v>58</v>
      </c>
      <c r="C47" s="21" t="n">
        <f aca="false">COUNTIF(Candidates!$B$2:$B$500,B47)</f>
        <v>0</v>
      </c>
    </row>
    <row r="48" customFormat="false" ht="15" hidden="false" customHeight="false" outlineLevel="0" collapsed="false">
      <c r="B48" s="20" t="s">
        <v>59</v>
      </c>
      <c r="C48" s="21" t="n">
        <f aca="false">COUNTIF(Candidates!$B$2:$B$500,B48)</f>
        <v>1</v>
      </c>
    </row>
    <row r="49" customFormat="false" ht="15" hidden="false" customHeight="false" outlineLevel="0" collapsed="false">
      <c r="B49" s="20" t="s">
        <v>60</v>
      </c>
      <c r="C49" s="21" t="n">
        <f aca="false">COUNTIF(Candidates!$B$2:$B$500,B49)</f>
        <v>0</v>
      </c>
    </row>
    <row r="50" customFormat="false" ht="15" hidden="false" customHeight="false" outlineLevel="0" collapsed="false">
      <c r="B50" s="20" t="s">
        <v>61</v>
      </c>
      <c r="C50" s="21" t="n">
        <f aca="false">COUNTIF(Candidates!$B$2:$B$500,B50)</f>
        <v>0</v>
      </c>
    </row>
    <row r="51" customFormat="false" ht="15" hidden="false" customHeight="false" outlineLevel="0" collapsed="false">
      <c r="B51" s="20" t="s">
        <v>62</v>
      </c>
      <c r="C51" s="21" t="n">
        <f aca="false">COUNTIF(Candidates!$B$2:$B$500,B51)</f>
        <v>0</v>
      </c>
    </row>
    <row r="52" customFormat="false" ht="15" hidden="false" customHeight="false" outlineLevel="0" collapsed="false">
      <c r="B52" s="20" t="s">
        <v>63</v>
      </c>
      <c r="C52" s="21" t="n">
        <f aca="false">COUNTIF(Candidates!$B$2:$B$500,B52)</f>
        <v>0</v>
      </c>
    </row>
    <row r="53" customFormat="false" ht="15" hidden="false" customHeight="false" outlineLevel="0" collapsed="false">
      <c r="B53" s="20" t="s">
        <v>64</v>
      </c>
      <c r="C53" s="21" t="n">
        <f aca="false">COUNTIF(Candidates!$B$2:$B$500,B53)</f>
        <v>0</v>
      </c>
    </row>
    <row r="55" customFormat="false" ht="15" hidden="false" customHeight="false" outlineLevel="0" collapsed="false">
      <c r="B55" s="4" t="s">
        <v>65</v>
      </c>
    </row>
  </sheetData>
  <mergeCells count="12">
    <mergeCell ref="C4:E4"/>
    <mergeCell ref="F4:H4"/>
    <mergeCell ref="J4:L4"/>
    <mergeCell ref="M4:Q4"/>
    <mergeCell ref="C5:E5"/>
    <mergeCell ref="F5:H5"/>
    <mergeCell ref="J5:L5"/>
    <mergeCell ref="M5:Q5"/>
    <mergeCell ref="C6:E6"/>
    <mergeCell ref="F6:H6"/>
    <mergeCell ref="J6:L6"/>
    <mergeCell ref="M6:Q6"/>
  </mergeCells>
  <conditionalFormatting sqref="M5">
    <cfRule type="cellIs" priority="2" operator="greaterThan" aboveAverage="0" equalAverage="0" bottom="0" percent="0" rank="0" text="" dxfId="0">
      <formula>0</formula>
    </cfRule>
  </conditionalFormatting>
  <conditionalFormatting sqref="F10:F16">
    <cfRule type="dataBar" priority="3">
      <dataBar showValue="1" minLength="10" maxLength="90">
        <cfvo type="num" val="0"/>
        <cfvo type="num" val="1"/>
        <color rgb="FF2F6B45"/>
      </dataBar>
      <extLst>
        <ext xmlns:x14="http://schemas.microsoft.com/office/spreadsheetml/2009/9/main" uri="{B025F937-C7B1-47D3-B67F-A62EFF666E3E}">
          <x14:id>{D76B2EE0-66E7-4C31-B38E-133E244619A7}</x14:id>
        </ext>
      </extLst>
    </cfRule>
  </conditionalFormatting>
  <conditionalFormatting sqref="C32:C53">
    <cfRule type="dataBar" priority="4">
      <dataBar showValue="1" minLength="10" maxLength="90">
        <cfvo type="num" val="0"/>
        <cfvo type="max" val="0"/>
        <color rgb="FF2F6B45"/>
      </dataBar>
      <extLst>
        <ext xmlns:x14="http://schemas.microsoft.com/office/spreadsheetml/2009/9/main" uri="{B025F937-C7B1-47D3-B67F-A62EFF666E3E}">
          <x14:id>{64F0C225-53C5-4D40-91C8-B6A771636E60}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6B2EE0-66E7-4C31-B38E-133E244619A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6B45"/>
              <x14:axisColor rgb="FF000000"/>
            </x14:dataBar>
          </x14:cfRule>
          <xm:sqref>F10:F16</xm:sqref>
        </x14:conditionalFormatting>
        <x14:conditionalFormatting xmlns:xm="http://schemas.microsoft.com/office/excel/2006/main">
          <x14:cfRule type="dataBar" id="{64F0C225-53C5-4D40-91C8-B6A771636E60}">
            <x14:dataBar minLength="10" maxLength="90" axisPosition="none" gradient="true">
              <x14:cfvo type="num">
                <xm:f>0</xm:f>
              </x14:cfvo>
              <x14:cfvo type="max"/>
              <x14:negativeFillColor rgb="FF2F6B45"/>
              <x14:axisColor rgb="FF000000"/>
            </x14:dataBar>
          </x14:cfRule>
          <xm:sqref>C32:C53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5"/>
    <pageSetUpPr fitToPage="false"/>
  </sheetPr>
  <dimension ref="A1:AX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3" activeCellId="0" sqref="B3"/>
    </sheetView>
  </sheetViews>
  <sheetFormatPr defaultColWidth="8.83203125" defaultRowHeight="15" zeroHeight="false" outlineLevelRow="0" outlineLevelCol="1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22" width="20"/>
    <col collapsed="false" customWidth="true" hidden="false" outlineLevel="0" max="5" min="5" style="23" width="14"/>
    <col collapsed="false" customWidth="true" hidden="false" outlineLevel="0" max="6" min="6" style="24" width="12"/>
    <col collapsed="false" customWidth="true" hidden="false" outlineLevel="0" max="8" min="7" style="24" width="13"/>
    <col collapsed="false" customWidth="true" hidden="false" outlineLevel="0" max="9" min="9" style="24" width="12"/>
    <col collapsed="false" customWidth="true" hidden="false" outlineLevel="0" max="11" min="10" style="24" width="13"/>
    <col collapsed="false" customWidth="true" hidden="false" outlineLevel="0" max="12" min="12" style="24" width="12"/>
    <col collapsed="false" customWidth="true" hidden="false" outlineLevel="0" max="14" min="13" style="24" width="13"/>
    <col collapsed="false" customWidth="true" hidden="false" outlineLevel="0" max="15" min="15" style="24" width="12"/>
    <col collapsed="false" customWidth="true" hidden="false" outlineLevel="0" max="17" min="16" style="24" width="13"/>
    <col collapsed="false" customWidth="true" hidden="false" outlineLevel="0" max="18" min="18" style="24" width="12"/>
    <col collapsed="false" customWidth="true" hidden="false" outlineLevel="0" max="23" min="19" style="24" width="13"/>
    <col collapsed="false" customWidth="true" hidden="false" outlineLevel="0" max="24" min="24" style="24" width="12"/>
    <col collapsed="false" customWidth="true" hidden="false" outlineLevel="0" max="26" min="25" style="24" width="13"/>
    <col collapsed="false" customWidth="true" hidden="true" outlineLevel="1" max="50" min="27" style="25" width="14"/>
  </cols>
  <sheetData>
    <row r="1" s="34" customFormat="true" ht="48" hidden="false" customHeight="true" outlineLevel="0" collapsed="false">
      <c r="A1" s="26" t="s">
        <v>66</v>
      </c>
      <c r="B1" s="26" t="s">
        <v>67</v>
      </c>
      <c r="C1" s="26" t="s">
        <v>68</v>
      </c>
      <c r="D1" s="27" t="s">
        <v>69</v>
      </c>
      <c r="E1" s="28" t="s">
        <v>70</v>
      </c>
      <c r="F1" s="29" t="s">
        <v>71</v>
      </c>
      <c r="G1" s="26" t="s">
        <v>72</v>
      </c>
      <c r="H1" s="26" t="s">
        <v>73</v>
      </c>
      <c r="I1" s="26" t="s">
        <v>74</v>
      </c>
      <c r="J1" s="26" t="s">
        <v>75</v>
      </c>
      <c r="K1" s="26" t="s">
        <v>76</v>
      </c>
      <c r="L1" s="26" t="s">
        <v>77</v>
      </c>
      <c r="M1" s="26" t="s">
        <v>78</v>
      </c>
      <c r="N1" s="26" t="s">
        <v>79</v>
      </c>
      <c r="O1" s="26" t="s">
        <v>80</v>
      </c>
      <c r="P1" s="26" t="s">
        <v>81</v>
      </c>
      <c r="Q1" s="26" t="s">
        <v>82</v>
      </c>
      <c r="R1" s="26" t="s">
        <v>83</v>
      </c>
      <c r="S1" s="26" t="s">
        <v>84</v>
      </c>
      <c r="T1" s="26" t="s">
        <v>85</v>
      </c>
      <c r="U1" s="26" t="s">
        <v>86</v>
      </c>
      <c r="V1" s="26" t="s">
        <v>87</v>
      </c>
      <c r="W1" s="26" t="s">
        <v>88</v>
      </c>
      <c r="X1" s="26" t="s">
        <v>89</v>
      </c>
      <c r="Y1" s="26" t="s">
        <v>90</v>
      </c>
      <c r="Z1" s="27" t="s">
        <v>91</v>
      </c>
      <c r="AA1" s="30" t="s">
        <v>92</v>
      </c>
      <c r="AB1" s="31" t="s">
        <v>93</v>
      </c>
      <c r="AC1" s="32" t="s">
        <v>94</v>
      </c>
      <c r="AD1" s="31" t="s">
        <v>95</v>
      </c>
      <c r="AE1" s="31" t="s">
        <v>96</v>
      </c>
      <c r="AF1" s="31" t="s">
        <v>97</v>
      </c>
      <c r="AG1" s="31" t="s">
        <v>98</v>
      </c>
      <c r="AH1" s="32" t="s">
        <v>99</v>
      </c>
      <c r="AI1" s="31" t="s">
        <v>100</v>
      </c>
      <c r="AJ1" s="31" t="s">
        <v>101</v>
      </c>
      <c r="AK1" s="31" t="s">
        <v>102</v>
      </c>
      <c r="AL1" s="31" t="s">
        <v>103</v>
      </c>
      <c r="AM1" s="31" t="s">
        <v>104</v>
      </c>
      <c r="AN1" s="31" t="s">
        <v>105</v>
      </c>
      <c r="AO1" s="31" t="s">
        <v>106</v>
      </c>
      <c r="AP1" s="33" t="s">
        <v>107</v>
      </c>
      <c r="AQ1" s="31" t="s">
        <v>108</v>
      </c>
      <c r="AR1" s="31" t="s">
        <v>109</v>
      </c>
      <c r="AS1" s="31" t="s">
        <v>110</v>
      </c>
      <c r="AT1" s="31" t="s">
        <v>111</v>
      </c>
      <c r="AU1" s="31" t="s">
        <v>112</v>
      </c>
      <c r="AV1" s="31" t="s">
        <v>113</v>
      </c>
      <c r="AW1" s="31" t="s">
        <v>114</v>
      </c>
      <c r="AX1" s="33" t="s">
        <v>115</v>
      </c>
    </row>
    <row r="2" customFormat="false" ht="16.5" hidden="false" customHeight="true" outlineLevel="0" collapsed="false">
      <c r="A2" s="35" t="s">
        <v>116</v>
      </c>
      <c r="B2" s="36" t="str">
        <f aca="false">AH2</f>
        <v>FAIL</v>
      </c>
      <c r="C2" s="35" t="s">
        <v>117</v>
      </c>
      <c r="D2" s="36" t="str">
        <f aca="false">VLOOKUP(C2, 'Job Info'!A:C, 2, FALSE)</f>
        <v>Software Developer</v>
      </c>
      <c r="E2" s="37" t="str">
        <f aca="false">IF(F2 &gt;= VLOOKUP("Resume Exceed", 'Passing Scores'!A:B, 2, FALSE), "yes", "no")</f>
        <v>no</v>
      </c>
      <c r="F2" s="38" t="n">
        <v>7</v>
      </c>
      <c r="G2" s="39" t="n">
        <v>44816</v>
      </c>
      <c r="H2" s="39" t="n">
        <v>44816</v>
      </c>
      <c r="I2" s="38" t="n">
        <v>7</v>
      </c>
      <c r="J2" s="39" t="n">
        <v>44818</v>
      </c>
      <c r="K2" s="39" t="n">
        <v>44818</v>
      </c>
      <c r="L2" s="38" t="n">
        <v>5</v>
      </c>
      <c r="M2" s="40"/>
      <c r="N2" s="40"/>
      <c r="O2" s="38" t="n">
        <v>1</v>
      </c>
      <c r="P2" s="40"/>
      <c r="Q2" s="40"/>
      <c r="R2" s="38" t="n">
        <v>1</v>
      </c>
      <c r="S2" s="40"/>
      <c r="T2" s="40"/>
      <c r="U2" s="38" t="n">
        <v>1</v>
      </c>
      <c r="V2" s="39" t="n">
        <v>1</v>
      </c>
      <c r="W2" s="40"/>
      <c r="X2" s="38" t="n">
        <v>1</v>
      </c>
      <c r="Y2" s="40"/>
      <c r="Z2" s="40"/>
      <c r="AA2" s="36" t="str">
        <f aca="false">VLOOKUP(C2, 'Job Info'!A:C, 3, FALSE)</f>
        <v>SD</v>
      </c>
      <c r="AB2" s="41" t="str">
        <f aca="false">UPPER(E2)</f>
        <v>NO</v>
      </c>
      <c r="AC2" s="42" t="str">
        <f aca="false">AA2 &amp; AB2</f>
        <v>SDNO</v>
      </c>
      <c r="AD2" s="36" t="n">
        <f aca="false">COUNT(F2:Z2)</f>
        <v>12</v>
      </c>
      <c r="AE2" s="42" t="n">
        <f aca="false">HLOOKUP(AC2, 'Hiring Processes'!$A$3:$G$20, 2, FALSE)</f>
        <v>4</v>
      </c>
      <c r="AF2" s="36" t="n">
        <f aca="false">4+AD2</f>
        <v>16</v>
      </c>
      <c r="AG2" s="36" t="str">
        <f aca="true">OFFSET('Hiring Processes'!$A$1,(Candidates!AF2),(Candidates!AE2))</f>
        <v>Review Final Interview</v>
      </c>
      <c r="AH2" s="36" t="str">
        <f aca="true">IF(AP2=TRUE, "FAIL", OFFSET('Hiring Processes'!$A$1,(AF2),(Candidates!AE2)))</f>
        <v>FAIL</v>
      </c>
      <c r="AI2" s="43" t="b">
        <f aca="false">IF(AND(F2&lt;'Passing Scores'!$B$1, COUNT(F2) = 1),TRUE,FALSE)</f>
        <v>0</v>
      </c>
      <c r="AJ2" s="43" t="b">
        <f aca="false">IF(AND(I2&lt;'Passing Scores'!$B$3, COUNT(I2)=1),TRUE, FALSE)</f>
        <v>0</v>
      </c>
      <c r="AK2" s="43" t="b">
        <f aca="false">IF(AND(L2&lt;'Passing Scores'!$B$4,COUNT(L2)=1),TRUE, FALSE)</f>
        <v>1</v>
      </c>
      <c r="AL2" s="43" t="b">
        <f aca="false">IF(AND(O2&lt;'Passing Scores'!$B$5,COUNT(O2)=1),TRUE, FALSE)</f>
        <v>1</v>
      </c>
      <c r="AM2" s="43" t="b">
        <f aca="false">IF(AND(R2&lt;'Passing Scores'!$B$6,COUNT(R2)=1),TRUE, FALSE)</f>
        <v>1</v>
      </c>
      <c r="AN2" s="43" t="b">
        <f aca="false">IF(AND(U2&lt;'Passing Scores'!$B$7,COUNT(U2)=1),TRUE, FALSE)</f>
        <v>1</v>
      </c>
      <c r="AO2" s="43" t="b">
        <f aca="false">IF(AND(X2&lt;'Passing Scores'!$B$8,COUNT(X2)=1),TRUE, FALSE)</f>
        <v>1</v>
      </c>
      <c r="AP2" s="43" t="b">
        <f aca="false">OR(AI2,AJ2,AK2,AL2,AM2,AN2,AO2)</f>
        <v>1</v>
      </c>
      <c r="AQ2" s="36" t="n">
        <f aca="false">'Passing Scores'!$B$1</f>
        <v>5</v>
      </c>
      <c r="AR2" s="36" t="n">
        <f aca="false">'Passing Scores'!$B$2</f>
        <v>8</v>
      </c>
      <c r="AS2" s="36" t="n">
        <f aca="false">'Passing Scores'!$B$3</f>
        <v>7</v>
      </c>
      <c r="AT2" s="36" t="n">
        <f aca="false">'Passing Scores'!$B$4</f>
        <v>6</v>
      </c>
      <c r="AU2" s="36" t="n">
        <f aca="false">'Passing Scores'!$B$5</f>
        <v>7</v>
      </c>
      <c r="AV2" s="36" t="n">
        <f aca="false">'Passing Scores'!$B$6</f>
        <v>6</v>
      </c>
      <c r="AW2" s="36" t="n">
        <f aca="false">'Passing Scores'!$B$7</f>
        <v>8</v>
      </c>
      <c r="AX2" s="36" t="n">
        <f aca="false">'Passing Scores'!$B$8</f>
        <v>8</v>
      </c>
    </row>
    <row r="3" customFormat="false" ht="15.75" hidden="false" customHeight="true" outlineLevel="0" collapsed="false">
      <c r="A3" s="35" t="s">
        <v>118</v>
      </c>
      <c r="B3" s="36" t="str">
        <f aca="false">AH3</f>
        <v>Write Technical Assessment</v>
      </c>
      <c r="C3" s="35" t="s">
        <v>119</v>
      </c>
      <c r="D3" s="36" t="str">
        <f aca="false">VLOOKUP(C3, 'Job Info'!A:C, 2, FALSE)</f>
        <v>Software Developer</v>
      </c>
      <c r="E3" s="37" t="str">
        <f aca="false">IF(F3 &gt;= VLOOKUP("Resume Exceed", 'Passing Scores'!A:B, 2, FALSE), "yes", "no")</f>
        <v>yes</v>
      </c>
      <c r="F3" s="38" t="n">
        <v>9</v>
      </c>
      <c r="G3" s="40"/>
      <c r="H3" s="40"/>
      <c r="I3" s="44"/>
      <c r="J3" s="39" t="n">
        <v>44818</v>
      </c>
      <c r="K3" s="39" t="n">
        <v>44818</v>
      </c>
      <c r="L3" s="38" t="n">
        <v>6</v>
      </c>
      <c r="M3" s="40"/>
      <c r="N3" s="40"/>
      <c r="O3" s="45"/>
      <c r="P3" s="40"/>
      <c r="Q3" s="40"/>
      <c r="R3" s="45"/>
      <c r="S3" s="40"/>
      <c r="T3" s="40"/>
      <c r="U3" s="45"/>
      <c r="V3" s="40"/>
      <c r="W3" s="40"/>
      <c r="X3" s="38" t="n">
        <v>22</v>
      </c>
      <c r="Y3" s="40"/>
      <c r="Z3" s="40"/>
      <c r="AA3" s="36" t="str">
        <f aca="false">VLOOKUP(C3, 'Job Info'!A:C, 3, FALSE)</f>
        <v>SD</v>
      </c>
      <c r="AB3" s="41" t="str">
        <f aca="false">UPPER(E3)</f>
        <v>YES</v>
      </c>
      <c r="AC3" s="42" t="str">
        <f aca="false">AA3 &amp; AB3</f>
        <v>SDYES</v>
      </c>
      <c r="AD3" s="36" t="n">
        <f aca="false">COUNT(F3:Z3)</f>
        <v>5</v>
      </c>
      <c r="AE3" s="42" t="n">
        <f aca="false">HLOOKUP(AC3, 'Hiring Processes'!$A$3:$G$20, 2, FALSE)</f>
        <v>3</v>
      </c>
      <c r="AF3" s="36" t="n">
        <f aca="false">4+AD3</f>
        <v>9</v>
      </c>
      <c r="AG3" s="36" t="str">
        <f aca="true">OFFSET('Hiring Processes'!$A$1,(Candidates!AF3),(Candidates!AE3))</f>
        <v>Write Technical Assessment</v>
      </c>
      <c r="AH3" s="36" t="str">
        <f aca="true">IF(AP3=TRUE, "FAIL", OFFSET('Hiring Processes'!$A$1,(AF3),(Candidates!AE3)))</f>
        <v>Write Technical Assessment</v>
      </c>
      <c r="AI3" s="43" t="b">
        <f aca="false">IF(AND(F3&lt;'Passing Scores'!$B$1, COUNT(F3) = 1),TRUE,FALSE)</f>
        <v>0</v>
      </c>
      <c r="AJ3" s="43" t="b">
        <f aca="false">IF(AND(I3&lt;'Passing Scores'!$B$3, COUNT(I3)=1),TRUE, FALSE)</f>
        <v>0</v>
      </c>
      <c r="AK3" s="43" t="b">
        <f aca="false">IF(AND(L3&lt;'Passing Scores'!$B$4,COUNT(L3)=1),TRUE, FALSE)</f>
        <v>0</v>
      </c>
      <c r="AL3" s="43" t="b">
        <f aca="false">IF(AND(O3&lt;'Passing Scores'!$B$5,COUNT(O3)=1),TRUE, FALSE)</f>
        <v>0</v>
      </c>
      <c r="AM3" s="43" t="b">
        <f aca="false">IF(AND(R3&lt;'Passing Scores'!$B$6,COUNT(R3)=1),TRUE, FALSE)</f>
        <v>0</v>
      </c>
      <c r="AN3" s="43" t="b">
        <f aca="false">IF(AND(U3&lt;'Passing Scores'!$B$7,COUNT(U3)=1),TRUE, FALSE)</f>
        <v>0</v>
      </c>
      <c r="AO3" s="43" t="b">
        <f aca="false">IF(AND(X3&lt;'Passing Scores'!$B$8,COUNT(X3)=1),TRUE, FALSE)</f>
        <v>0</v>
      </c>
      <c r="AP3" s="43" t="b">
        <f aca="false">OR(AI3,AJ3,AK3,AL3,AM3,AN3,AO3)</f>
        <v>0</v>
      </c>
      <c r="AQ3" s="36" t="n">
        <f aca="false">'Passing Scores'!$B$1</f>
        <v>5</v>
      </c>
      <c r="AR3" s="36" t="n">
        <f aca="false">'Passing Scores'!$B$2</f>
        <v>8</v>
      </c>
      <c r="AS3" s="36" t="n">
        <f aca="false">'Passing Scores'!$B$3</f>
        <v>7</v>
      </c>
      <c r="AT3" s="36" t="n">
        <f aca="false">'Passing Scores'!$B$4</f>
        <v>6</v>
      </c>
      <c r="AU3" s="36" t="n">
        <f aca="false">'Passing Scores'!$B$5</f>
        <v>7</v>
      </c>
      <c r="AV3" s="36" t="n">
        <f aca="false">'Passing Scores'!$B$6</f>
        <v>6</v>
      </c>
      <c r="AW3" s="36" t="n">
        <f aca="false">'Passing Scores'!$B$7</f>
        <v>8</v>
      </c>
      <c r="AX3" s="36" t="n">
        <f aca="false">'Passing Scores'!$B$8</f>
        <v>8</v>
      </c>
    </row>
    <row r="4" customFormat="false" ht="15.75" hidden="false" customHeight="true" outlineLevel="0" collapsed="false">
      <c r="A4" s="35" t="s">
        <v>120</v>
      </c>
      <c r="B4" s="36" t="str">
        <f aca="false">AH4</f>
        <v>FAIL</v>
      </c>
      <c r="C4" s="35" t="s">
        <v>121</v>
      </c>
      <c r="D4" s="36" t="str">
        <f aca="false">VLOOKUP(C4, 'Job Info'!A:C, 2, FALSE)</f>
        <v>Software Developer</v>
      </c>
      <c r="E4" s="37" t="str">
        <f aca="false">IF(F4 &gt;= VLOOKUP("Resume Exceed", 'Passing Scores'!A:B, 2, FALSE), "yes", "no")</f>
        <v>no</v>
      </c>
      <c r="F4" s="38" t="n">
        <v>4</v>
      </c>
      <c r="G4" s="40"/>
      <c r="H4" s="40"/>
      <c r="I4" s="38" t="n">
        <v>1</v>
      </c>
      <c r="J4" s="40"/>
      <c r="K4" s="40"/>
      <c r="L4" s="45"/>
      <c r="M4" s="40"/>
      <c r="N4" s="40"/>
      <c r="O4" s="45"/>
      <c r="P4" s="40"/>
      <c r="Q4" s="40"/>
      <c r="R4" s="45"/>
      <c r="S4" s="40"/>
      <c r="T4" s="40"/>
      <c r="U4" s="45"/>
      <c r="V4" s="40"/>
      <c r="W4" s="40"/>
      <c r="X4" s="45"/>
      <c r="Y4" s="40"/>
      <c r="Z4" s="40"/>
      <c r="AA4" s="36" t="str">
        <f aca="false">VLOOKUP(C4, 'Job Info'!A:C, 3, FALSE)</f>
        <v>SD</v>
      </c>
      <c r="AB4" s="41" t="str">
        <f aca="false">UPPER(E4)</f>
        <v>NO</v>
      </c>
      <c r="AC4" s="42" t="str">
        <f aca="false">AA4 &amp; AB4</f>
        <v>SDNO</v>
      </c>
      <c r="AD4" s="36" t="n">
        <f aca="false">COUNT(F4:Z4)</f>
        <v>2</v>
      </c>
      <c r="AE4" s="42" t="n">
        <f aca="false">HLOOKUP(AC4, 'Hiring Processes'!$A$3:$G$18, 2, FALSE)</f>
        <v>4</v>
      </c>
      <c r="AF4" s="36" t="n">
        <f aca="false">4+AD4</f>
        <v>6</v>
      </c>
      <c r="AG4" s="36" t="str">
        <f aca="true">OFFSET('Hiring Processes'!$A$1,(Candidates!AF4),(Candidates!AE4))</f>
        <v>Write Technical Assessment</v>
      </c>
      <c r="AH4" s="36" t="str">
        <f aca="true">IF(AP4=TRUE, "FAIL", OFFSET('Hiring Processes'!$A$1,(AF4),(Candidates!AE4)))</f>
        <v>FAIL</v>
      </c>
      <c r="AI4" s="43" t="b">
        <f aca="false">IF(AND(F4&lt;'Passing Scores'!$B$1, COUNT(F4) = 1),TRUE,FALSE)</f>
        <v>1</v>
      </c>
      <c r="AJ4" s="43" t="b">
        <f aca="false">IF(AND(I4&lt;'Passing Scores'!$B$3, COUNT(I4)=1),TRUE, FALSE)</f>
        <v>1</v>
      </c>
      <c r="AK4" s="43" t="b">
        <f aca="false">IF(AND(L4&lt;'Passing Scores'!$B$4,COUNT(L4)=1),TRUE, FALSE)</f>
        <v>0</v>
      </c>
      <c r="AL4" s="43" t="b">
        <f aca="false">IF(AND(O4&lt;'Passing Scores'!$B$5,COUNT(O4)=1),TRUE, FALSE)</f>
        <v>0</v>
      </c>
      <c r="AM4" s="43" t="b">
        <f aca="false">IF(AND(R4&lt;'Passing Scores'!$B$6,COUNT(R4)=1),TRUE, FALSE)</f>
        <v>0</v>
      </c>
      <c r="AN4" s="43" t="b">
        <f aca="false">IF(AND(U4&lt;'Passing Scores'!$B$7,COUNT(U4)=1),TRUE, FALSE)</f>
        <v>0</v>
      </c>
      <c r="AO4" s="43" t="b">
        <f aca="false">IF(AND(X4&lt;'Passing Scores'!$B$8,COUNT(X4)=1),TRUE, FALSE)</f>
        <v>0</v>
      </c>
      <c r="AP4" s="43" t="b">
        <f aca="false">OR(AI4,AJ4,AK4,AL4,AM4,AN4,AO4)</f>
        <v>1</v>
      </c>
      <c r="AQ4" s="36" t="n">
        <f aca="false">'Passing Scores'!$B$1</f>
        <v>5</v>
      </c>
      <c r="AR4" s="36" t="n">
        <f aca="false">'Passing Scores'!$B$2</f>
        <v>8</v>
      </c>
      <c r="AS4" s="36" t="n">
        <f aca="false">'Passing Scores'!$B$3</f>
        <v>7</v>
      </c>
      <c r="AT4" s="36" t="n">
        <f aca="false">'Passing Scores'!$B$4</f>
        <v>6</v>
      </c>
      <c r="AU4" s="36" t="n">
        <f aca="false">'Passing Scores'!$B$5</f>
        <v>7</v>
      </c>
      <c r="AV4" s="36" t="n">
        <f aca="false">'Passing Scores'!$B$6</f>
        <v>6</v>
      </c>
      <c r="AW4" s="36" t="n">
        <f aca="false">'Passing Scores'!$B$7</f>
        <v>8</v>
      </c>
      <c r="AX4" s="36" t="n">
        <f aca="false">'Passing Scores'!$B$8</f>
        <v>8</v>
      </c>
    </row>
    <row r="5" customFormat="false" ht="15.75" hidden="false" customHeight="true" outlineLevel="0" collapsed="false">
      <c r="A5" s="35" t="s">
        <v>122</v>
      </c>
      <c r="B5" s="36" t="str">
        <f aca="false">AH5</f>
        <v>Send Portfolio</v>
      </c>
      <c r="C5" s="35" t="s">
        <v>123</v>
      </c>
      <c r="D5" s="36" t="str">
        <f aca="false">VLOOKUP(C5, 'Job Info'!A:C, 2, FALSE)</f>
        <v>Graphic Designer</v>
      </c>
      <c r="E5" s="37" t="str">
        <f aca="false">IF(F5 &gt;= VLOOKUP("Resume Exceed", 'Passing Scores'!A:B, 2, FALSE), "yes", "no")</f>
        <v>no</v>
      </c>
      <c r="F5" s="38" t="n">
        <v>7</v>
      </c>
      <c r="G5" s="40"/>
      <c r="H5" s="40"/>
      <c r="I5" s="45"/>
      <c r="J5" s="40"/>
      <c r="K5" s="40"/>
      <c r="L5" s="45"/>
      <c r="M5" s="40"/>
      <c r="N5" s="40"/>
      <c r="O5" s="45"/>
      <c r="P5" s="40"/>
      <c r="Q5" s="40"/>
      <c r="R5" s="38" t="n">
        <v>7</v>
      </c>
      <c r="S5" s="40"/>
      <c r="T5" s="40"/>
      <c r="U5" s="45"/>
      <c r="V5" s="40"/>
      <c r="W5" s="40"/>
      <c r="X5" s="45"/>
      <c r="Y5" s="40"/>
      <c r="Z5" s="40"/>
      <c r="AA5" s="36" t="str">
        <f aca="false">VLOOKUP(C5, 'Job Info'!A:C, 3, FALSE)</f>
        <v>GD</v>
      </c>
      <c r="AB5" s="41" t="str">
        <f aca="false">UPPER(E5)</f>
        <v>NO</v>
      </c>
      <c r="AC5" s="42" t="str">
        <f aca="false">AA5 &amp; AB5</f>
        <v>GDNO</v>
      </c>
      <c r="AD5" s="36" t="n">
        <f aca="false">COUNT(F5:Z5)</f>
        <v>2</v>
      </c>
      <c r="AE5" s="42" t="n">
        <f aca="false">HLOOKUP(AC5, 'Hiring Processes'!$A$3:$G$18, 2, FALSE)</f>
        <v>6</v>
      </c>
      <c r="AF5" s="36" t="n">
        <f aca="false">4+AD5</f>
        <v>6</v>
      </c>
      <c r="AG5" s="36" t="str">
        <f aca="true">OFFSET('Hiring Processes'!$A$1,(Candidates!AF5),(Candidates!AE5))</f>
        <v>Send Portfolio</v>
      </c>
      <c r="AH5" s="36" t="str">
        <f aca="true">IF(AP5=TRUE, "FAIL", OFFSET('Hiring Processes'!$A$1,(AF5),(Candidates!AE5)))</f>
        <v>Send Portfolio</v>
      </c>
      <c r="AI5" s="43" t="b">
        <f aca="false">IF(AND(F5&lt;'Passing Scores'!$B$1, COUNT(F5) = 1),TRUE,FALSE)</f>
        <v>0</v>
      </c>
      <c r="AJ5" s="43" t="b">
        <f aca="false">IF(AND(I5&lt;'Passing Scores'!$B$3, COUNT(I5)=1),TRUE, FALSE)</f>
        <v>0</v>
      </c>
      <c r="AK5" s="43" t="b">
        <f aca="false">IF(AND(L5&lt;'Passing Scores'!$B$4,COUNT(L5)=1),TRUE, FALSE)</f>
        <v>0</v>
      </c>
      <c r="AL5" s="43" t="b">
        <f aca="false">IF(AND(O5&lt;'Passing Scores'!$B$5,COUNT(O5)=1),TRUE, FALSE)</f>
        <v>0</v>
      </c>
      <c r="AM5" s="43" t="b">
        <f aca="false">IF(AND(R5&lt;'Passing Scores'!$B$6,COUNT(R5)=1),TRUE, FALSE)</f>
        <v>0</v>
      </c>
      <c r="AN5" s="43" t="b">
        <f aca="false">IF(AND(U5&lt;'Passing Scores'!$B$7,COUNT(U5)=1),TRUE, FALSE)</f>
        <v>0</v>
      </c>
      <c r="AO5" s="43" t="b">
        <f aca="false">IF(AND(X5&lt;'Passing Scores'!$B$8,COUNT(X5)=1),TRUE, FALSE)</f>
        <v>0</v>
      </c>
      <c r="AP5" s="43" t="b">
        <f aca="false">OR(AI5,AJ5,AK5,AL5,AM5,AN5,AO5)</f>
        <v>0</v>
      </c>
      <c r="AQ5" s="36" t="n">
        <f aca="false">'Passing Scores'!$B$1</f>
        <v>5</v>
      </c>
      <c r="AR5" s="36" t="n">
        <f aca="false">'Passing Scores'!$B$2</f>
        <v>8</v>
      </c>
      <c r="AS5" s="36" t="n">
        <f aca="false">'Passing Scores'!$B$3</f>
        <v>7</v>
      </c>
      <c r="AT5" s="36" t="n">
        <f aca="false">'Passing Scores'!$B$4</f>
        <v>6</v>
      </c>
      <c r="AU5" s="36" t="n">
        <f aca="false">'Passing Scores'!$B$5</f>
        <v>7</v>
      </c>
      <c r="AV5" s="36" t="n">
        <f aca="false">'Passing Scores'!$B$6</f>
        <v>6</v>
      </c>
      <c r="AW5" s="36" t="n">
        <f aca="false">'Passing Scores'!$B$7</f>
        <v>8</v>
      </c>
      <c r="AX5" s="36" t="n">
        <f aca="false">'Passing Scores'!$B$8</f>
        <v>8</v>
      </c>
    </row>
    <row r="6" customFormat="false" ht="15.75" hidden="false" customHeight="true" outlineLevel="0" collapsed="false">
      <c r="A6" s="35" t="s">
        <v>124</v>
      </c>
      <c r="B6" s="36" t="str">
        <f aca="false">AH6</f>
        <v>FAIL</v>
      </c>
      <c r="C6" s="35" t="s">
        <v>125</v>
      </c>
      <c r="D6" s="36" t="str">
        <f aca="false">VLOOKUP(C6, 'Job Info'!A:C, 2, FALSE)</f>
        <v>Graphic Designer</v>
      </c>
      <c r="E6" s="37" t="str">
        <f aca="false">IF(F6 &gt;= VLOOKUP("Resume Exceed", 'Passing Scores'!A:B, 2, FALSE), "yes", "no")</f>
        <v>no</v>
      </c>
      <c r="F6" s="38" t="n">
        <v>7</v>
      </c>
      <c r="G6" s="40"/>
      <c r="H6" s="40"/>
      <c r="I6" s="45"/>
      <c r="J6" s="40"/>
      <c r="K6" s="40"/>
      <c r="L6" s="45"/>
      <c r="M6" s="40"/>
      <c r="N6" s="40"/>
      <c r="O6" s="45"/>
      <c r="P6" s="40"/>
      <c r="Q6" s="40"/>
      <c r="R6" s="38" t="n">
        <v>1</v>
      </c>
      <c r="S6" s="40"/>
      <c r="T6" s="40"/>
      <c r="U6" s="45"/>
      <c r="V6" s="40"/>
      <c r="W6" s="40"/>
      <c r="X6" s="45"/>
      <c r="Y6" s="40"/>
      <c r="Z6" s="40"/>
      <c r="AA6" s="36" t="str">
        <f aca="false">VLOOKUP(C6, 'Job Info'!A:C, 3, FALSE)</f>
        <v>GD</v>
      </c>
      <c r="AB6" s="41" t="str">
        <f aca="false">UPPER(E6)</f>
        <v>NO</v>
      </c>
      <c r="AC6" s="42" t="str">
        <f aca="false">AA6 &amp; AB6</f>
        <v>GDNO</v>
      </c>
      <c r="AD6" s="36" t="n">
        <f aca="false">COUNT(F6:Z6)</f>
        <v>2</v>
      </c>
      <c r="AE6" s="42" t="n">
        <f aca="false">HLOOKUP(AC6, 'Hiring Processes'!$A$3:$G$18, 2, FALSE)</f>
        <v>6</v>
      </c>
      <c r="AF6" s="36" t="n">
        <f aca="false">4+AD6</f>
        <v>6</v>
      </c>
      <c r="AG6" s="36" t="str">
        <f aca="true">OFFSET('Hiring Processes'!$A$1,(Candidates!AF6),(Candidates!AE6))</f>
        <v>Send Portfolio</v>
      </c>
      <c r="AH6" s="36" t="str">
        <f aca="true">IF(AP6=TRUE, "FAIL", OFFSET('Hiring Processes'!$A$1,(AF6),(Candidates!AE6)))</f>
        <v>FAIL</v>
      </c>
      <c r="AI6" s="43" t="b">
        <f aca="false">IF(AND(F6&lt;'Passing Scores'!$B$1, COUNT(F6) = 1),TRUE,FALSE)</f>
        <v>0</v>
      </c>
      <c r="AJ6" s="43" t="b">
        <f aca="false">IF(AND(I6&lt;'Passing Scores'!$B$3, COUNT(I6)=1),TRUE, FALSE)</f>
        <v>0</v>
      </c>
      <c r="AK6" s="43" t="b">
        <f aca="false">IF(AND(L6&lt;'Passing Scores'!$B$4,COUNT(L6)=1),TRUE, FALSE)</f>
        <v>0</v>
      </c>
      <c r="AL6" s="43" t="b">
        <f aca="false">IF(AND(O6&lt;'Passing Scores'!$B$5,COUNT(O6)=1),TRUE, FALSE)</f>
        <v>0</v>
      </c>
      <c r="AM6" s="43" t="b">
        <f aca="false">IF(AND(R6&lt;'Passing Scores'!$B$6,COUNT(R6)=1),TRUE, FALSE)</f>
        <v>1</v>
      </c>
      <c r="AN6" s="43" t="b">
        <f aca="false">IF(AND(U6&lt;'Passing Scores'!$B$7,COUNT(U6)=1),TRUE, FALSE)</f>
        <v>0</v>
      </c>
      <c r="AO6" s="43" t="b">
        <f aca="false">IF(AND(X6&lt;'Passing Scores'!$B$8,COUNT(X6)=1),TRUE, FALSE)</f>
        <v>0</v>
      </c>
      <c r="AP6" s="43" t="b">
        <f aca="false">OR(AI6,AJ6,AK6,AL6,AM6,AN6,AO6)</f>
        <v>1</v>
      </c>
      <c r="AQ6" s="36" t="n">
        <f aca="false">'Passing Scores'!$B$1</f>
        <v>5</v>
      </c>
      <c r="AR6" s="36" t="n">
        <f aca="false">'Passing Scores'!$B$2</f>
        <v>8</v>
      </c>
      <c r="AS6" s="36" t="n">
        <f aca="false">'Passing Scores'!$B$3</f>
        <v>7</v>
      </c>
      <c r="AT6" s="36" t="n">
        <f aca="false">'Passing Scores'!$B$4</f>
        <v>6</v>
      </c>
      <c r="AU6" s="36" t="n">
        <f aca="false">'Passing Scores'!$B$5</f>
        <v>7</v>
      </c>
      <c r="AV6" s="36" t="n">
        <f aca="false">'Passing Scores'!$B$6</f>
        <v>6</v>
      </c>
      <c r="AW6" s="36" t="n">
        <f aca="false">'Passing Scores'!$B$7</f>
        <v>8</v>
      </c>
      <c r="AX6" s="36" t="n">
        <f aca="false">'Passing Scores'!$B$8</f>
        <v>8</v>
      </c>
    </row>
    <row r="7" customFormat="false" ht="15.75" hidden="false" customHeight="true" outlineLevel="0" collapsed="false">
      <c r="A7" s="35" t="s">
        <v>126</v>
      </c>
      <c r="B7" s="36" t="str">
        <f aca="false">AH7</f>
        <v>FAIL</v>
      </c>
      <c r="C7" s="35" t="s">
        <v>127</v>
      </c>
      <c r="D7" s="36" t="str">
        <f aca="false">VLOOKUP(C7, 'Job Info'!A:C, 2, FALSE)</f>
        <v>Graphic Designer</v>
      </c>
      <c r="E7" s="37" t="str">
        <f aca="false">IF(F7 &gt;= VLOOKUP("Resume Exceed", 'Passing Scores'!A:B, 2, FALSE), "yes", "no")</f>
        <v>no</v>
      </c>
      <c r="F7" s="38" t="n">
        <v>3</v>
      </c>
      <c r="G7" s="40"/>
      <c r="H7" s="40"/>
      <c r="I7" s="45"/>
      <c r="J7" s="40"/>
      <c r="K7" s="40"/>
      <c r="L7" s="45"/>
      <c r="M7" s="40"/>
      <c r="N7" s="40"/>
      <c r="O7" s="45"/>
      <c r="P7" s="40"/>
      <c r="Q7" s="40"/>
      <c r="R7" s="38" t="n">
        <v>3</v>
      </c>
      <c r="S7" s="40"/>
      <c r="T7" s="40"/>
      <c r="U7" s="45"/>
      <c r="V7" s="40"/>
      <c r="W7" s="40"/>
      <c r="X7" s="45"/>
      <c r="Y7" s="40"/>
      <c r="Z7" s="40"/>
      <c r="AA7" s="36" t="str">
        <f aca="false">VLOOKUP(C7, 'Job Info'!A:C, 3, FALSE)</f>
        <v>GD</v>
      </c>
      <c r="AB7" s="41" t="str">
        <f aca="false">UPPER(E7)</f>
        <v>NO</v>
      </c>
      <c r="AC7" s="42" t="str">
        <f aca="false">AA7 &amp; AB7</f>
        <v>GDNO</v>
      </c>
      <c r="AD7" s="36" t="n">
        <f aca="false">COUNT(F7:Z7)</f>
        <v>2</v>
      </c>
      <c r="AE7" s="42" t="n">
        <f aca="false">HLOOKUP(AC7, 'Hiring Processes'!$A$3:$G$18, 2, FALSE)</f>
        <v>6</v>
      </c>
      <c r="AF7" s="36" t="n">
        <f aca="false">4+AD7</f>
        <v>6</v>
      </c>
      <c r="AG7" s="36" t="str">
        <f aca="true">OFFSET('Hiring Processes'!$A$1,(Candidates!AF7),(Candidates!AE7))</f>
        <v>Send Portfolio</v>
      </c>
      <c r="AH7" s="36" t="str">
        <f aca="true">IF(AP7=TRUE, "FAIL", OFFSET('Hiring Processes'!$A$1,(AF7),(Candidates!AE7)))</f>
        <v>FAIL</v>
      </c>
      <c r="AI7" s="43" t="b">
        <f aca="false">IF(AND(F7&lt;'Passing Scores'!$B$1, COUNT(F7) = 1),TRUE,FALSE)</f>
        <v>1</v>
      </c>
      <c r="AJ7" s="43" t="b">
        <f aca="false">IF(AND(I7&lt;'Passing Scores'!$B$3, COUNT(I7)=1),TRUE, FALSE)</f>
        <v>0</v>
      </c>
      <c r="AK7" s="43" t="b">
        <f aca="false">IF(AND(L7&lt;'Passing Scores'!$B$4,COUNT(L7)=1),TRUE, FALSE)</f>
        <v>0</v>
      </c>
      <c r="AL7" s="43" t="b">
        <f aca="false">IF(AND(O7&lt;'Passing Scores'!$B$5,COUNT(O7)=1),TRUE, FALSE)</f>
        <v>0</v>
      </c>
      <c r="AM7" s="43" t="b">
        <f aca="false">IF(AND(R7&lt;'Passing Scores'!$B$6,COUNT(R7)=1),TRUE, FALSE)</f>
        <v>1</v>
      </c>
      <c r="AN7" s="43" t="b">
        <f aca="false">IF(AND(U7&lt;'Passing Scores'!$B$7,COUNT(U7)=1),TRUE, FALSE)</f>
        <v>0</v>
      </c>
      <c r="AO7" s="43" t="b">
        <f aca="false">IF(AND(X7&lt;'Passing Scores'!$B$8,COUNT(X7)=1),TRUE, FALSE)</f>
        <v>0</v>
      </c>
      <c r="AP7" s="43" t="b">
        <f aca="false">OR(AI7,AJ7,AK7,AL7,AM7,AN7,AO7)</f>
        <v>1</v>
      </c>
      <c r="AQ7" s="36" t="n">
        <f aca="false">'Passing Scores'!$B$1</f>
        <v>5</v>
      </c>
      <c r="AR7" s="36" t="n">
        <f aca="false">'Passing Scores'!$B$2</f>
        <v>8</v>
      </c>
      <c r="AS7" s="36" t="n">
        <f aca="false">'Passing Scores'!$B$3</f>
        <v>7</v>
      </c>
      <c r="AT7" s="36" t="n">
        <f aca="false">'Passing Scores'!$B$4</f>
        <v>6</v>
      </c>
      <c r="AU7" s="36" t="n">
        <f aca="false">'Passing Scores'!$B$5</f>
        <v>7</v>
      </c>
      <c r="AV7" s="36" t="n">
        <f aca="false">'Passing Scores'!$B$6</f>
        <v>6</v>
      </c>
      <c r="AW7" s="36" t="n">
        <f aca="false">'Passing Scores'!$B$7</f>
        <v>8</v>
      </c>
      <c r="AX7" s="36" t="n">
        <f aca="false">'Passing Scores'!$B$8</f>
        <v>8</v>
      </c>
    </row>
    <row r="8" customFormat="false" ht="15.75" hidden="false" customHeight="true" outlineLevel="0" collapsed="false">
      <c r="A8" s="35" t="s">
        <v>128</v>
      </c>
      <c r="B8" s="36" t="str">
        <f aca="false">AH8</f>
        <v>Schedule Final Interview</v>
      </c>
      <c r="C8" s="35" t="s">
        <v>129</v>
      </c>
      <c r="D8" s="36" t="str">
        <f aca="false">VLOOKUP(C8, 'Job Info'!A:C, 2, FALSE)</f>
        <v>Commercial Team</v>
      </c>
      <c r="E8" s="37" t="str">
        <f aca="false">IF(F8 &gt;= VLOOKUP("Resume Exceed", 'Passing Scores'!A:B, 2, FALSE), "yes", "no")</f>
        <v>yes</v>
      </c>
      <c r="F8" s="38" t="n">
        <v>9</v>
      </c>
      <c r="G8" s="40"/>
      <c r="H8" s="40"/>
      <c r="I8" s="45"/>
      <c r="J8" s="39" t="n">
        <v>44818</v>
      </c>
      <c r="K8" s="39" t="n">
        <v>44818</v>
      </c>
      <c r="L8" s="38" t="n">
        <v>9</v>
      </c>
      <c r="M8" s="40"/>
      <c r="N8" s="40"/>
      <c r="O8" s="45"/>
      <c r="P8" s="39" t="n">
        <v>44818</v>
      </c>
      <c r="Q8" s="39" t="n">
        <v>44818</v>
      </c>
      <c r="R8" s="38" t="n">
        <v>6</v>
      </c>
      <c r="S8" s="40"/>
      <c r="T8" s="40"/>
      <c r="U8" s="45"/>
      <c r="V8" s="40"/>
      <c r="W8" s="40"/>
      <c r="X8" s="45"/>
      <c r="Y8" s="40"/>
      <c r="Z8" s="40"/>
      <c r="AA8" s="36" t="str">
        <f aca="false">VLOOKUP(C8, 'Job Info'!A:C, 3, FALSE)</f>
        <v>CT</v>
      </c>
      <c r="AB8" s="41" t="str">
        <f aca="false">UPPER(E8)</f>
        <v>YES</v>
      </c>
      <c r="AC8" s="42" t="str">
        <f aca="false">AA8 &amp; AB8</f>
        <v>CTYES</v>
      </c>
      <c r="AD8" s="36" t="n">
        <f aca="false">COUNT(F8:Z8)</f>
        <v>7</v>
      </c>
      <c r="AE8" s="42" t="n">
        <f aca="false">HLOOKUP(AC8, 'Hiring Processes'!$A$3:$G$18, 2, FALSE)</f>
        <v>1</v>
      </c>
      <c r="AF8" s="36" t="n">
        <f aca="false">4+AD8</f>
        <v>11</v>
      </c>
      <c r="AG8" s="36" t="str">
        <f aca="true">OFFSET('Hiring Processes'!$A$1,(Candidates!AF8),(Candidates!AE8))</f>
        <v>Schedule Final Interview</v>
      </c>
      <c r="AH8" s="36" t="str">
        <f aca="true">IF(AP8=TRUE, "FAIL", OFFSET('Hiring Processes'!$A$1,(AF8),(Candidates!AE8)))</f>
        <v>Schedule Final Interview</v>
      </c>
      <c r="AI8" s="43" t="b">
        <f aca="false">IF(AND(F8&lt;'Passing Scores'!$B$1, COUNT(F8) = 1),TRUE,FALSE)</f>
        <v>0</v>
      </c>
      <c r="AJ8" s="43" t="b">
        <f aca="false">IF(AND(I8&lt;'Passing Scores'!$B$3, COUNT(I8)=1),TRUE, FALSE)</f>
        <v>0</v>
      </c>
      <c r="AK8" s="43" t="b">
        <f aca="false">IF(AND(L8&lt;'Passing Scores'!$B$4,COUNT(L8)=1),TRUE, FALSE)</f>
        <v>0</v>
      </c>
      <c r="AL8" s="43" t="b">
        <f aca="false">IF(AND(O8&lt;'Passing Scores'!$B$5,COUNT(O8)=1),TRUE, FALSE)</f>
        <v>0</v>
      </c>
      <c r="AM8" s="43" t="b">
        <f aca="false">IF(AND(R8&lt;'Passing Scores'!$B$6,COUNT(R8)=1),TRUE, FALSE)</f>
        <v>0</v>
      </c>
      <c r="AN8" s="43" t="b">
        <f aca="false">IF(AND(U8&lt;'Passing Scores'!$B$7,COUNT(U8)=1),TRUE, FALSE)</f>
        <v>0</v>
      </c>
      <c r="AO8" s="43" t="b">
        <f aca="false">IF(AND(X8&lt;'Passing Scores'!$B$8,COUNT(X8)=1),TRUE, FALSE)</f>
        <v>0</v>
      </c>
      <c r="AP8" s="43" t="b">
        <f aca="false">OR(AI8,AJ8,AK8,AL8,AM8,AN8,AO8)</f>
        <v>0</v>
      </c>
      <c r="AQ8" s="36" t="n">
        <f aca="false">'Passing Scores'!$B$1</f>
        <v>5</v>
      </c>
      <c r="AR8" s="36" t="n">
        <f aca="false">'Passing Scores'!$B$2</f>
        <v>8</v>
      </c>
      <c r="AS8" s="36" t="n">
        <f aca="false">'Passing Scores'!$B$3</f>
        <v>7</v>
      </c>
      <c r="AT8" s="36" t="n">
        <f aca="false">'Passing Scores'!$B$4</f>
        <v>6</v>
      </c>
      <c r="AU8" s="36" t="n">
        <f aca="false">'Passing Scores'!$B$5</f>
        <v>7</v>
      </c>
      <c r="AV8" s="36" t="n">
        <f aca="false">'Passing Scores'!$B$6</f>
        <v>6</v>
      </c>
      <c r="AW8" s="36" t="n">
        <f aca="false">'Passing Scores'!$B$7</f>
        <v>8</v>
      </c>
      <c r="AX8" s="36" t="n">
        <f aca="false">'Passing Scores'!$B$8</f>
        <v>8</v>
      </c>
    </row>
    <row r="9" customFormat="false" ht="15.75" hidden="false" customHeight="true" outlineLevel="0" collapsed="false">
      <c r="A9" s="35" t="s">
        <v>130</v>
      </c>
      <c r="B9" s="36" t="str">
        <f aca="false">AH9</f>
        <v>FAIL</v>
      </c>
      <c r="C9" s="35" t="s">
        <v>131</v>
      </c>
      <c r="D9" s="36" t="str">
        <f aca="false">VLOOKUP(C9, 'Job Info'!A:C, 2, FALSE)</f>
        <v>Commercial Team</v>
      </c>
      <c r="E9" s="37" t="str">
        <f aca="false">IF(F9 &gt;= VLOOKUP("Resume Exceed", 'Passing Scores'!A:B, 2, FALSE), "yes", "no")</f>
        <v>no</v>
      </c>
      <c r="F9" s="38" t="n">
        <v>6</v>
      </c>
      <c r="G9" s="40"/>
      <c r="H9" s="40"/>
      <c r="I9" s="45"/>
      <c r="J9" s="40"/>
      <c r="K9" s="40"/>
      <c r="L9" s="45"/>
      <c r="M9" s="40"/>
      <c r="N9" s="40"/>
      <c r="O9" s="45"/>
      <c r="P9" s="39" t="n">
        <v>44818</v>
      </c>
      <c r="Q9" s="40"/>
      <c r="R9" s="38" t="n">
        <v>0</v>
      </c>
      <c r="S9" s="40"/>
      <c r="T9" s="40"/>
      <c r="U9" s="45"/>
      <c r="V9" s="40"/>
      <c r="W9" s="40"/>
      <c r="X9" s="45"/>
      <c r="Y9" s="40"/>
      <c r="Z9" s="40"/>
      <c r="AA9" s="36" t="str">
        <f aca="false">VLOOKUP(C9, 'Job Info'!A:C, 3, FALSE)</f>
        <v>CT</v>
      </c>
      <c r="AB9" s="41" t="str">
        <f aca="false">UPPER(E9)</f>
        <v>NO</v>
      </c>
      <c r="AC9" s="42" t="str">
        <f aca="false">AA9 &amp; AB9</f>
        <v>CTNO</v>
      </c>
      <c r="AD9" s="36" t="n">
        <f aca="false">COUNT(F9:Z9)</f>
        <v>3</v>
      </c>
      <c r="AE9" s="42" t="n">
        <f aca="false">HLOOKUP(AC9, 'Hiring Processes'!$A$3:$G$18, 2, FALSE)</f>
        <v>2</v>
      </c>
      <c r="AF9" s="36" t="n">
        <f aca="false">4+AD9</f>
        <v>7</v>
      </c>
      <c r="AG9" s="36" t="str">
        <f aca="true">OFFSET('Hiring Processes'!$A$1,(Candidates!AF9),(Candidates!AE9))</f>
        <v>Review Personality Assessment</v>
      </c>
      <c r="AH9" s="36" t="str">
        <f aca="true">IF(AP9=TRUE, "FAIL", OFFSET('Hiring Processes'!$A$1,(AF9),(Candidates!AE9)))</f>
        <v>FAIL</v>
      </c>
      <c r="AI9" s="43" t="b">
        <f aca="false">IF(AND(F9&lt;'Passing Scores'!$B$1, COUNT(F9) = 1),TRUE,FALSE)</f>
        <v>0</v>
      </c>
      <c r="AJ9" s="43" t="b">
        <f aca="false">IF(AND(I9&lt;'Passing Scores'!$B$3, COUNT(I9)=1),TRUE, FALSE)</f>
        <v>0</v>
      </c>
      <c r="AK9" s="43" t="b">
        <f aca="false">IF(AND(L9&lt;'Passing Scores'!$B$4,COUNT(L9)=1),TRUE, FALSE)</f>
        <v>0</v>
      </c>
      <c r="AL9" s="43" t="b">
        <f aca="false">IF(AND(O9&lt;'Passing Scores'!$B$5,COUNT(O9)=1),TRUE, FALSE)</f>
        <v>0</v>
      </c>
      <c r="AM9" s="43" t="b">
        <f aca="false">IF(AND(R9&lt;'Passing Scores'!$B$6,COUNT(R9)=1),TRUE, FALSE)</f>
        <v>1</v>
      </c>
      <c r="AN9" s="43" t="b">
        <f aca="false">IF(AND(U9&lt;'Passing Scores'!$B$7,COUNT(U9)=1),TRUE, FALSE)</f>
        <v>0</v>
      </c>
      <c r="AO9" s="43" t="b">
        <f aca="false">IF(AND(X9&lt;'Passing Scores'!$B$8,COUNT(X9)=1),TRUE, FALSE)</f>
        <v>0</v>
      </c>
      <c r="AP9" s="43" t="b">
        <f aca="false">OR(AI9,AJ9,AK9,AL9,AM9,AN9,AO9)</f>
        <v>1</v>
      </c>
      <c r="AQ9" s="36" t="n">
        <f aca="false">'Passing Scores'!$B$1</f>
        <v>5</v>
      </c>
      <c r="AR9" s="36" t="n">
        <f aca="false">'Passing Scores'!$B$2</f>
        <v>8</v>
      </c>
      <c r="AS9" s="36" t="n">
        <f aca="false">'Passing Scores'!$B$3</f>
        <v>7</v>
      </c>
      <c r="AT9" s="36" t="n">
        <f aca="false">'Passing Scores'!$B$4</f>
        <v>6</v>
      </c>
      <c r="AU9" s="36" t="n">
        <f aca="false">'Passing Scores'!$B$5</f>
        <v>7</v>
      </c>
      <c r="AV9" s="36" t="n">
        <f aca="false">'Passing Scores'!$B$6</f>
        <v>6</v>
      </c>
      <c r="AW9" s="36" t="n">
        <f aca="false">'Passing Scores'!$B$7</f>
        <v>8</v>
      </c>
      <c r="AX9" s="36" t="n">
        <f aca="false">'Passing Scores'!$B$8</f>
        <v>8</v>
      </c>
    </row>
    <row r="10" customFormat="false" ht="15.75" hidden="false" customHeight="true" outlineLevel="0" collapsed="false">
      <c r="A10" s="35" t="s">
        <v>132</v>
      </c>
      <c r="B10" s="36" t="str">
        <f aca="false">AH10</f>
        <v>FAIL</v>
      </c>
      <c r="C10" s="35" t="s">
        <v>119</v>
      </c>
      <c r="D10" s="36" t="str">
        <f aca="false">VLOOKUP(C10, 'Job Info'!A:C, 2, FALSE)</f>
        <v>Software Developer</v>
      </c>
      <c r="E10" s="37" t="str">
        <f aca="false">IF(F10 &gt;= VLOOKUP("Resume Exceed", 'Passing Scores'!A:B, 2, FALSE), "yes", "no")</f>
        <v>no</v>
      </c>
      <c r="F10" s="38" t="n">
        <v>7</v>
      </c>
      <c r="G10" s="39" t="n">
        <v>44818</v>
      </c>
      <c r="H10" s="40"/>
      <c r="I10" s="45"/>
      <c r="J10" s="40"/>
      <c r="K10" s="40"/>
      <c r="L10" s="45"/>
      <c r="M10" s="40"/>
      <c r="N10" s="40"/>
      <c r="O10" s="45"/>
      <c r="P10" s="40"/>
      <c r="Q10" s="40"/>
      <c r="R10" s="38" t="n">
        <v>4</v>
      </c>
      <c r="S10" s="40"/>
      <c r="T10" s="40"/>
      <c r="U10" s="45"/>
      <c r="V10" s="39" t="n">
        <v>22</v>
      </c>
      <c r="W10" s="40"/>
      <c r="X10" s="45"/>
      <c r="Y10" s="40"/>
      <c r="Z10" s="40"/>
      <c r="AA10" s="36" t="str">
        <f aca="false">VLOOKUP(C10, 'Job Info'!A:C, 3, FALSE)</f>
        <v>SD</v>
      </c>
      <c r="AB10" s="41" t="str">
        <f aca="false">UPPER(E10)</f>
        <v>NO</v>
      </c>
      <c r="AC10" s="42" t="str">
        <f aca="false">AA10 &amp; AB10</f>
        <v>SDNO</v>
      </c>
      <c r="AD10" s="36" t="n">
        <f aca="false">COUNT(F10:Z10)</f>
        <v>4</v>
      </c>
      <c r="AE10" s="42" t="n">
        <f aca="false">HLOOKUP(AC10, 'Hiring Processes'!$A$3:$G$18, 2, FALSE)</f>
        <v>4</v>
      </c>
      <c r="AF10" s="36" t="n">
        <f aca="false">4+AD10</f>
        <v>8</v>
      </c>
      <c r="AG10" s="36" t="str">
        <f aca="true">OFFSET('Hiring Processes'!$A$1,(Candidates!AF10),(Candidates!AE10))</f>
        <v>Schedule Initial Meeting</v>
      </c>
      <c r="AH10" s="36" t="str">
        <f aca="true">IF(AP10=TRUE, "FAIL", OFFSET('Hiring Processes'!$A$1,(AF10),(Candidates!AE10)))</f>
        <v>FAIL</v>
      </c>
      <c r="AI10" s="43" t="b">
        <f aca="false">IF(AND(F10&lt;'Passing Scores'!$B$1, COUNT(F10) = 1),TRUE,FALSE)</f>
        <v>0</v>
      </c>
      <c r="AJ10" s="43" t="b">
        <f aca="false">IF(AND(I10&lt;'Passing Scores'!$B$3, COUNT(I10)=1),TRUE, FALSE)</f>
        <v>0</v>
      </c>
      <c r="AK10" s="43" t="b">
        <f aca="false">IF(AND(L10&lt;'Passing Scores'!$B$4,COUNT(L10)=1),TRUE, FALSE)</f>
        <v>0</v>
      </c>
      <c r="AL10" s="43" t="b">
        <f aca="false">IF(AND(O10&lt;'Passing Scores'!$B$5,COUNT(O10)=1),TRUE, FALSE)</f>
        <v>0</v>
      </c>
      <c r="AM10" s="43" t="b">
        <f aca="false">IF(AND(R10&lt;'Passing Scores'!$B$6,COUNT(R10)=1),TRUE, FALSE)</f>
        <v>1</v>
      </c>
      <c r="AN10" s="43" t="b">
        <f aca="false">IF(AND(U10&lt;'Passing Scores'!$B$7,COUNT(U10)=1),TRUE, FALSE)</f>
        <v>0</v>
      </c>
      <c r="AO10" s="43" t="b">
        <f aca="false">IF(AND(X10&lt;'Passing Scores'!$B$8,COUNT(X10)=1),TRUE, FALSE)</f>
        <v>0</v>
      </c>
      <c r="AP10" s="43" t="b">
        <f aca="false">OR(AI10,AJ10,AK10,AL10,AM10,AN10,AO10)</f>
        <v>1</v>
      </c>
      <c r="AQ10" s="36" t="n">
        <f aca="false">'Passing Scores'!$B$1</f>
        <v>5</v>
      </c>
      <c r="AR10" s="36" t="n">
        <f aca="false">'Passing Scores'!$B$2</f>
        <v>8</v>
      </c>
      <c r="AS10" s="36" t="n">
        <f aca="false">'Passing Scores'!$B$3</f>
        <v>7</v>
      </c>
      <c r="AT10" s="36" t="n">
        <f aca="false">'Passing Scores'!$B$4</f>
        <v>6</v>
      </c>
      <c r="AU10" s="36" t="n">
        <f aca="false">'Passing Scores'!$B$5</f>
        <v>7</v>
      </c>
      <c r="AV10" s="36" t="n">
        <f aca="false">'Passing Scores'!$B$6</f>
        <v>6</v>
      </c>
      <c r="AW10" s="36" t="n">
        <f aca="false">'Passing Scores'!$B$7</f>
        <v>8</v>
      </c>
      <c r="AX10" s="36" t="n">
        <f aca="false">'Passing Scores'!$B$8</f>
        <v>8</v>
      </c>
    </row>
    <row r="11" customFormat="false" ht="15.75" hidden="false" customHeight="true" outlineLevel="0" collapsed="false">
      <c r="A11" s="35" t="s">
        <v>133</v>
      </c>
      <c r="B11" s="36" t="str">
        <f aca="false">AH11</f>
        <v>Ask for Portfolio</v>
      </c>
      <c r="C11" s="35" t="s">
        <v>127</v>
      </c>
      <c r="D11" s="36" t="str">
        <f aca="false">VLOOKUP(C11, 'Job Info'!A:C, 2, FALSE)</f>
        <v>Graphic Designer</v>
      </c>
      <c r="E11" s="37" t="str">
        <f aca="false">IF(F11 &gt;= VLOOKUP("Resume Exceed", 'Passing Scores'!A:B, 2, FALSE), "yes", "no")</f>
        <v>no</v>
      </c>
      <c r="F11" s="38" t="n">
        <v>7</v>
      </c>
      <c r="G11" s="40"/>
      <c r="H11" s="40"/>
      <c r="I11" s="45"/>
      <c r="J11" s="40"/>
      <c r="K11" s="40"/>
      <c r="L11" s="45"/>
      <c r="M11" s="40"/>
      <c r="N11" s="40"/>
      <c r="O11" s="45"/>
      <c r="P11" s="40"/>
      <c r="Q11" s="40"/>
      <c r="R11" s="45"/>
      <c r="S11" s="40"/>
      <c r="T11" s="40"/>
      <c r="U11" s="45"/>
      <c r="V11" s="40"/>
      <c r="W11" s="40"/>
      <c r="X11" s="45"/>
      <c r="Y11" s="40"/>
      <c r="Z11" s="40"/>
      <c r="AA11" s="36" t="str">
        <f aca="false">VLOOKUP(C11, 'Job Info'!A:C, 3, FALSE)</f>
        <v>GD</v>
      </c>
      <c r="AB11" s="41" t="str">
        <f aca="false">UPPER(E11)</f>
        <v>NO</v>
      </c>
      <c r="AC11" s="42" t="str">
        <f aca="false">AA11 &amp; AB11</f>
        <v>GDNO</v>
      </c>
      <c r="AD11" s="36" t="n">
        <f aca="false">COUNT(F11:Z11)</f>
        <v>1</v>
      </c>
      <c r="AE11" s="42" t="n">
        <f aca="false">HLOOKUP(AC11, 'Hiring Processes'!$A$3:$G$18, 2, FALSE)</f>
        <v>6</v>
      </c>
      <c r="AF11" s="36" t="n">
        <f aca="false">4+AD11</f>
        <v>5</v>
      </c>
      <c r="AG11" s="36" t="str">
        <f aca="true">OFFSET('Hiring Processes'!$A$1,(Candidates!AF11),(Candidates!AE11))</f>
        <v>Ask for Portfolio</v>
      </c>
      <c r="AH11" s="36" t="str">
        <f aca="true">IF(AP11=TRUE, "FAIL", OFFSET('Hiring Processes'!$A$1,(AF11),(Candidates!AE11)))</f>
        <v>Ask for Portfolio</v>
      </c>
      <c r="AI11" s="43" t="b">
        <f aca="false">IF(AND(F11&lt;'Passing Scores'!$B$1, COUNT(F11) = 1),TRUE,FALSE)</f>
        <v>0</v>
      </c>
      <c r="AJ11" s="43" t="b">
        <f aca="false">IF(AND(I11&lt;'Passing Scores'!$B$3, COUNT(I11)=1),TRUE, FALSE)</f>
        <v>0</v>
      </c>
      <c r="AK11" s="43" t="b">
        <f aca="false">IF(AND(L11&lt;'Passing Scores'!$B$4,COUNT(L11)=1),TRUE, FALSE)</f>
        <v>0</v>
      </c>
      <c r="AL11" s="43" t="b">
        <f aca="false">IF(AND(O11&lt;'Passing Scores'!$B$5,COUNT(O11)=1),TRUE, FALSE)</f>
        <v>0</v>
      </c>
      <c r="AM11" s="43" t="b">
        <f aca="false">IF(AND(R11&lt;'Passing Scores'!$B$6,COUNT(R11)=1),TRUE, FALSE)</f>
        <v>0</v>
      </c>
      <c r="AN11" s="43" t="b">
        <f aca="false">IF(AND(U11&lt;'Passing Scores'!$B$7,COUNT(U11)=1),TRUE, FALSE)</f>
        <v>0</v>
      </c>
      <c r="AO11" s="43" t="b">
        <f aca="false">IF(AND(X11&lt;'Passing Scores'!$B$8,COUNT(X11)=1),TRUE, FALSE)</f>
        <v>0</v>
      </c>
      <c r="AP11" s="43" t="b">
        <f aca="false">OR(AI11,AJ11,AK11,AL11,AM11,AN11,AO11)</f>
        <v>0</v>
      </c>
      <c r="AQ11" s="36" t="n">
        <f aca="false">'Passing Scores'!$B$1</f>
        <v>5</v>
      </c>
      <c r="AR11" s="36" t="n">
        <f aca="false">'Passing Scores'!$B$2</f>
        <v>8</v>
      </c>
      <c r="AS11" s="36" t="n">
        <f aca="false">'Passing Scores'!$B$3</f>
        <v>7</v>
      </c>
      <c r="AT11" s="36" t="n">
        <f aca="false">'Passing Scores'!$B$4</f>
        <v>6</v>
      </c>
      <c r="AU11" s="36" t="n">
        <f aca="false">'Passing Scores'!$B$5</f>
        <v>7</v>
      </c>
      <c r="AV11" s="36" t="n">
        <f aca="false">'Passing Scores'!$B$6</f>
        <v>6</v>
      </c>
      <c r="AW11" s="36" t="n">
        <f aca="false">'Passing Scores'!$B$7</f>
        <v>8</v>
      </c>
      <c r="AX11" s="36" t="n">
        <f aca="false">'Passing Scores'!$B$8</f>
        <v>8</v>
      </c>
    </row>
    <row r="12" customFormat="false" ht="15.75" hidden="false" customHeight="true" outlineLevel="0" collapsed="false">
      <c r="A12" s="35" t="s">
        <v>134</v>
      </c>
      <c r="B12" s="36" t="str">
        <f aca="false">AH12</f>
        <v>FAIL</v>
      </c>
      <c r="C12" s="35" t="s">
        <v>131</v>
      </c>
      <c r="D12" s="36" t="str">
        <f aca="false">VLOOKUP(C12, 'Job Info'!A:C, 2, FALSE)</f>
        <v>Commercial Team</v>
      </c>
      <c r="E12" s="37" t="str">
        <f aca="false">IF(F12 &gt;= VLOOKUP("Resume Exceed", 'Passing Scores'!A:B, 2, FALSE), "yes", "no")</f>
        <v>no</v>
      </c>
      <c r="F12" s="38" t="n">
        <v>4</v>
      </c>
      <c r="G12" s="40"/>
      <c r="H12" s="40"/>
      <c r="I12" s="45"/>
      <c r="J12" s="40"/>
      <c r="K12" s="40"/>
      <c r="L12" s="45"/>
      <c r="M12" s="40"/>
      <c r="N12" s="40"/>
      <c r="O12" s="45"/>
      <c r="P12" s="40"/>
      <c r="Q12" s="40"/>
      <c r="R12" s="45"/>
      <c r="S12" s="40"/>
      <c r="T12" s="40"/>
      <c r="U12" s="45"/>
      <c r="V12" s="39" t="n">
        <v>1</v>
      </c>
      <c r="W12" s="40"/>
      <c r="X12" s="45"/>
      <c r="Y12" s="40"/>
      <c r="Z12" s="40"/>
      <c r="AA12" s="36" t="str">
        <f aca="false">VLOOKUP(C12, 'Job Info'!A:C, 3, FALSE)</f>
        <v>CT</v>
      </c>
      <c r="AB12" s="41" t="str">
        <f aca="false">UPPER(E12)</f>
        <v>NO</v>
      </c>
      <c r="AC12" s="42" t="str">
        <f aca="false">AA12 &amp; AB12</f>
        <v>CTNO</v>
      </c>
      <c r="AD12" s="36" t="n">
        <f aca="false">COUNT(F12:Z12)</f>
        <v>2</v>
      </c>
      <c r="AE12" s="42" t="n">
        <f aca="false">HLOOKUP(AC12, 'Hiring Processes'!$A$3:$G$18, 2, FALSE)</f>
        <v>2</v>
      </c>
      <c r="AF12" s="36" t="n">
        <f aca="false">4+AD12</f>
        <v>6</v>
      </c>
      <c r="AG12" s="36" t="str">
        <f aca="true">OFFSET('Hiring Processes'!$A$1,(Candidates!AF12),(Candidates!AE12))</f>
        <v>Write Personality Assessment</v>
      </c>
      <c r="AH12" s="36" t="str">
        <f aca="true">IF(AP12=TRUE, "FAIL", OFFSET('Hiring Processes'!$A$1,(AF12),(Candidates!AE12)))</f>
        <v>FAIL</v>
      </c>
      <c r="AI12" s="43" t="b">
        <f aca="false">IF(AND(F12&lt;'Passing Scores'!$B$1, COUNT(F12) = 1),TRUE,FALSE)</f>
        <v>1</v>
      </c>
      <c r="AJ12" s="43" t="b">
        <f aca="false">IF(AND(I12&lt;'Passing Scores'!$B$3, COUNT(I12)=1),TRUE, FALSE)</f>
        <v>0</v>
      </c>
      <c r="AK12" s="43" t="b">
        <f aca="false">IF(AND(L12&lt;'Passing Scores'!$B$4,COUNT(L12)=1),TRUE, FALSE)</f>
        <v>0</v>
      </c>
      <c r="AL12" s="43" t="b">
        <f aca="false">IF(AND(O12&lt;'Passing Scores'!$B$5,COUNT(O12)=1),TRUE, FALSE)</f>
        <v>0</v>
      </c>
      <c r="AM12" s="43" t="b">
        <f aca="false">IF(AND(R12&lt;'Passing Scores'!$B$6,COUNT(R12)=1),TRUE, FALSE)</f>
        <v>0</v>
      </c>
      <c r="AN12" s="43" t="b">
        <f aca="false">IF(AND(U12&lt;'Passing Scores'!$B$7,COUNT(U12)=1),TRUE, FALSE)</f>
        <v>0</v>
      </c>
      <c r="AO12" s="43" t="b">
        <f aca="false">IF(AND(X12&lt;'Passing Scores'!$B$8,COUNT(X12)=1),TRUE, FALSE)</f>
        <v>0</v>
      </c>
      <c r="AP12" s="43" t="b">
        <f aca="false">OR(AI12,AJ12,AK12,AL12,AM12,AN12,AO12)</f>
        <v>1</v>
      </c>
      <c r="AQ12" s="36" t="n">
        <f aca="false">'Passing Scores'!$B$1</f>
        <v>5</v>
      </c>
      <c r="AR12" s="36" t="n">
        <f aca="false">'Passing Scores'!$B$2</f>
        <v>8</v>
      </c>
      <c r="AS12" s="36" t="n">
        <f aca="false">'Passing Scores'!$B$3</f>
        <v>7</v>
      </c>
      <c r="AT12" s="36" t="n">
        <f aca="false">'Passing Scores'!$B$4</f>
        <v>6</v>
      </c>
      <c r="AU12" s="36" t="n">
        <f aca="false">'Passing Scores'!$B$5</f>
        <v>7</v>
      </c>
      <c r="AV12" s="36" t="n">
        <f aca="false">'Passing Scores'!$B$6</f>
        <v>6</v>
      </c>
      <c r="AW12" s="36" t="n">
        <f aca="false">'Passing Scores'!$B$7</f>
        <v>8</v>
      </c>
      <c r="AX12" s="36" t="n">
        <f aca="false">'Passing Scores'!$B$8</f>
        <v>8</v>
      </c>
    </row>
    <row r="13" customFormat="false" ht="15.75" hidden="false" customHeight="true" outlineLevel="0" collapsed="false">
      <c r="A13" s="35" t="s">
        <v>135</v>
      </c>
      <c r="B13" s="36" t="str">
        <f aca="false">AH13</f>
        <v>FAIL</v>
      </c>
      <c r="C13" s="35" t="s">
        <v>125</v>
      </c>
      <c r="D13" s="36" t="str">
        <f aca="false">VLOOKUP(C13, 'Job Info'!A:C, 2, FALSE)</f>
        <v>Graphic Designer</v>
      </c>
      <c r="E13" s="37" t="str">
        <f aca="false">IF(F13 &gt;= VLOOKUP("Resume Exceed", 'Passing Scores'!A:B, 2, FALSE), "yes", "no")</f>
        <v>no</v>
      </c>
      <c r="F13" s="38" t="n">
        <v>1</v>
      </c>
      <c r="G13" s="40"/>
      <c r="H13" s="40"/>
      <c r="I13" s="45"/>
      <c r="J13" s="40"/>
      <c r="K13" s="40"/>
      <c r="L13" s="45"/>
      <c r="M13" s="40"/>
      <c r="N13" s="40"/>
      <c r="O13" s="45"/>
      <c r="P13" s="40"/>
      <c r="Q13" s="40"/>
      <c r="R13" s="45"/>
      <c r="S13" s="40"/>
      <c r="T13" s="40"/>
      <c r="U13" s="45"/>
      <c r="V13" s="40"/>
      <c r="W13" s="40"/>
      <c r="X13" s="45"/>
      <c r="Y13" s="40"/>
      <c r="Z13" s="40"/>
      <c r="AA13" s="36" t="str">
        <f aca="false">VLOOKUP(C13, 'Job Info'!A:C, 3, FALSE)</f>
        <v>GD</v>
      </c>
      <c r="AB13" s="41" t="str">
        <f aca="false">UPPER(E13)</f>
        <v>NO</v>
      </c>
      <c r="AC13" s="42" t="str">
        <f aca="false">AA13 &amp; AB13</f>
        <v>GDNO</v>
      </c>
      <c r="AD13" s="36" t="n">
        <f aca="false">COUNT(F13:Z13)</f>
        <v>1</v>
      </c>
      <c r="AE13" s="42" t="n">
        <f aca="false">HLOOKUP(AC13, 'Hiring Processes'!$A$3:$G$18, 2, FALSE)</f>
        <v>6</v>
      </c>
      <c r="AF13" s="36" t="n">
        <f aca="false">4+AD13</f>
        <v>5</v>
      </c>
      <c r="AG13" s="36" t="str">
        <f aca="true">OFFSET('Hiring Processes'!$A$1,(Candidates!AF13),(Candidates!AE13))</f>
        <v>Ask for Portfolio</v>
      </c>
      <c r="AH13" s="36" t="str">
        <f aca="true">IF(AP13=TRUE, "FAIL", OFFSET('Hiring Processes'!$A$1,(AF13),(Candidates!AE13)))</f>
        <v>FAIL</v>
      </c>
      <c r="AI13" s="43" t="b">
        <f aca="false">IF(AND(F13&lt;'Passing Scores'!$B$1, COUNT(F13) = 1),TRUE,FALSE)</f>
        <v>1</v>
      </c>
      <c r="AJ13" s="43" t="b">
        <f aca="false">IF(AND(I13&lt;'Passing Scores'!$B$3, COUNT(I13)=1),TRUE, FALSE)</f>
        <v>0</v>
      </c>
      <c r="AK13" s="43" t="b">
        <f aca="false">IF(AND(L13&lt;'Passing Scores'!$B$4,COUNT(L13)=1),TRUE, FALSE)</f>
        <v>0</v>
      </c>
      <c r="AL13" s="43" t="b">
        <f aca="false">IF(AND(O13&lt;'Passing Scores'!$B$5,COUNT(O13)=1),TRUE, FALSE)</f>
        <v>0</v>
      </c>
      <c r="AM13" s="43" t="b">
        <f aca="false">IF(AND(R13&lt;'Passing Scores'!$B$6,COUNT(R13)=1),TRUE, FALSE)</f>
        <v>0</v>
      </c>
      <c r="AN13" s="43" t="b">
        <f aca="false">IF(AND(U13&lt;'Passing Scores'!$B$7,COUNT(U13)=1),TRUE, FALSE)</f>
        <v>0</v>
      </c>
      <c r="AO13" s="43" t="b">
        <f aca="false">IF(AND(X13&lt;'Passing Scores'!$B$8,COUNT(X13)=1),TRUE, FALSE)</f>
        <v>0</v>
      </c>
      <c r="AP13" s="43" t="b">
        <f aca="false">OR(AI13,AJ13,AK13,AL13,AM13,AN13,AO13)</f>
        <v>1</v>
      </c>
      <c r="AQ13" s="36" t="n">
        <f aca="false">'Passing Scores'!$B$1</f>
        <v>5</v>
      </c>
      <c r="AR13" s="36" t="n">
        <f aca="false">'Passing Scores'!$B$2</f>
        <v>8</v>
      </c>
      <c r="AS13" s="36" t="n">
        <f aca="false">'Passing Scores'!$B$3</f>
        <v>7</v>
      </c>
      <c r="AT13" s="36" t="n">
        <f aca="false">'Passing Scores'!$B$4</f>
        <v>6</v>
      </c>
      <c r="AU13" s="36" t="n">
        <f aca="false">'Passing Scores'!$B$5</f>
        <v>7</v>
      </c>
      <c r="AV13" s="36" t="n">
        <f aca="false">'Passing Scores'!$B$6</f>
        <v>6</v>
      </c>
      <c r="AW13" s="36" t="n">
        <f aca="false">'Passing Scores'!$B$7</f>
        <v>8</v>
      </c>
      <c r="AX13" s="36" t="n">
        <f aca="false">'Passing Scores'!$B$8</f>
        <v>8</v>
      </c>
    </row>
    <row r="14" customFormat="false" ht="15.75" hidden="false" customHeight="true" outlineLevel="0" collapsed="false">
      <c r="A14" s="35" t="s">
        <v>136</v>
      </c>
      <c r="B14" s="36" t="str">
        <f aca="false">AH14</f>
        <v>FAIL</v>
      </c>
      <c r="C14" s="35" t="s">
        <v>123</v>
      </c>
      <c r="D14" s="36" t="str">
        <f aca="false">VLOOKUP(C14, 'Job Info'!A:C, 2, FALSE)</f>
        <v>Graphic Designer</v>
      </c>
      <c r="E14" s="37" t="str">
        <f aca="false">IF(F14 &gt;= VLOOKUP("Resume Exceed", 'Passing Scores'!A:B, 2, FALSE), "yes", "no")</f>
        <v>no</v>
      </c>
      <c r="F14" s="38" t="n">
        <v>2</v>
      </c>
      <c r="G14" s="40"/>
      <c r="H14" s="40"/>
      <c r="I14" s="45"/>
      <c r="J14" s="40"/>
      <c r="K14" s="40"/>
      <c r="L14" s="45"/>
      <c r="M14" s="40"/>
      <c r="N14" s="40"/>
      <c r="O14" s="45"/>
      <c r="P14" s="40"/>
      <c r="Q14" s="40"/>
      <c r="R14" s="45"/>
      <c r="S14" s="40"/>
      <c r="T14" s="40"/>
      <c r="U14" s="45"/>
      <c r="V14" s="40"/>
      <c r="W14" s="40"/>
      <c r="X14" s="45"/>
      <c r="Y14" s="40"/>
      <c r="Z14" s="40"/>
      <c r="AA14" s="36" t="str">
        <f aca="false">VLOOKUP(C14, 'Job Info'!A:C, 3, FALSE)</f>
        <v>GD</v>
      </c>
      <c r="AB14" s="41" t="str">
        <f aca="false">UPPER(E14)</f>
        <v>NO</v>
      </c>
      <c r="AC14" s="42" t="str">
        <f aca="false">AA14 &amp; AB14</f>
        <v>GDNO</v>
      </c>
      <c r="AD14" s="36" t="n">
        <f aca="false">COUNT(F14:Z14)</f>
        <v>1</v>
      </c>
      <c r="AE14" s="42" t="n">
        <f aca="false">HLOOKUP(AC14, 'Hiring Processes'!$A$3:$G$18, 2, FALSE)</f>
        <v>6</v>
      </c>
      <c r="AF14" s="36" t="n">
        <f aca="false">4+AD14</f>
        <v>5</v>
      </c>
      <c r="AG14" s="36" t="str">
        <f aca="true">OFFSET('Hiring Processes'!$A$1,(Candidates!AF14),(Candidates!AE14))</f>
        <v>Ask for Portfolio</v>
      </c>
      <c r="AH14" s="36" t="str">
        <f aca="true">IF(AP14=TRUE, "FAIL", OFFSET('Hiring Processes'!$A$1,(AF14),(Candidates!AE14)))</f>
        <v>FAIL</v>
      </c>
      <c r="AI14" s="43" t="b">
        <f aca="false">IF(AND(F14&lt;'Passing Scores'!$B$1, COUNT(F14) = 1),TRUE,FALSE)</f>
        <v>1</v>
      </c>
      <c r="AJ14" s="43" t="b">
        <f aca="false">IF(AND(I14&lt;'Passing Scores'!$B$3, COUNT(I14)=1),TRUE, FALSE)</f>
        <v>0</v>
      </c>
      <c r="AK14" s="43" t="b">
        <f aca="false">IF(AND(L14&lt;'Passing Scores'!$B$4,COUNT(L14)=1),TRUE, FALSE)</f>
        <v>0</v>
      </c>
      <c r="AL14" s="43" t="b">
        <f aca="false">IF(AND(O14&lt;'Passing Scores'!$B$5,COUNT(O14)=1),TRUE, FALSE)</f>
        <v>0</v>
      </c>
      <c r="AM14" s="43" t="b">
        <f aca="false">IF(AND(R14&lt;'Passing Scores'!$B$6,COUNT(R14)=1),TRUE, FALSE)</f>
        <v>0</v>
      </c>
      <c r="AN14" s="43" t="b">
        <f aca="false">IF(AND(U14&lt;'Passing Scores'!$B$7,COUNT(U14)=1),TRUE, FALSE)</f>
        <v>0</v>
      </c>
      <c r="AO14" s="43" t="b">
        <f aca="false">IF(AND(X14&lt;'Passing Scores'!$B$8,COUNT(X14)=1),TRUE, FALSE)</f>
        <v>0</v>
      </c>
      <c r="AP14" s="43" t="b">
        <f aca="false">OR(AI14,AJ14,AK14,AL14,AM14,AN14,AO14)</f>
        <v>1</v>
      </c>
      <c r="AQ14" s="36" t="n">
        <f aca="false">'Passing Scores'!$B$1</f>
        <v>5</v>
      </c>
      <c r="AR14" s="36" t="n">
        <f aca="false">'Passing Scores'!$B$2</f>
        <v>8</v>
      </c>
      <c r="AS14" s="36" t="n">
        <f aca="false">'Passing Scores'!$B$3</f>
        <v>7</v>
      </c>
      <c r="AT14" s="36" t="n">
        <f aca="false">'Passing Scores'!$B$4</f>
        <v>6</v>
      </c>
      <c r="AU14" s="36" t="n">
        <f aca="false">'Passing Scores'!$B$5</f>
        <v>7</v>
      </c>
      <c r="AV14" s="36" t="n">
        <f aca="false">'Passing Scores'!$B$6</f>
        <v>6</v>
      </c>
      <c r="AW14" s="36" t="n">
        <f aca="false">'Passing Scores'!$B$7</f>
        <v>8</v>
      </c>
      <c r="AX14" s="36" t="n">
        <f aca="false">'Passing Scores'!$B$8</f>
        <v>8</v>
      </c>
    </row>
    <row r="15" customFormat="false" ht="15.75" hidden="false" customHeight="true" outlineLevel="0" collapsed="false">
      <c r="A15" s="35" t="s">
        <v>137</v>
      </c>
      <c r="B15" s="36" t="str">
        <f aca="false">AH15</f>
        <v>FAIL</v>
      </c>
      <c r="C15" s="35" t="s">
        <v>117</v>
      </c>
      <c r="D15" s="36" t="str">
        <f aca="false">VLOOKUP(C15, 'Job Info'!A:C, 2, FALSE)</f>
        <v>Software Developer</v>
      </c>
      <c r="E15" s="37" t="str">
        <f aca="false">IF(F15 &gt;= VLOOKUP("Resume Exceed", 'Passing Scores'!A:B, 2, FALSE), "yes", "no")</f>
        <v>no</v>
      </c>
      <c r="F15" s="38" t="n">
        <v>3</v>
      </c>
      <c r="G15" s="40"/>
      <c r="H15" s="40"/>
      <c r="I15" s="45"/>
      <c r="J15" s="40"/>
      <c r="K15" s="40"/>
      <c r="L15" s="45"/>
      <c r="M15" s="40"/>
      <c r="N15" s="40"/>
      <c r="O15" s="45"/>
      <c r="P15" s="40"/>
      <c r="Q15" s="40"/>
      <c r="R15" s="45"/>
      <c r="S15" s="40"/>
      <c r="T15" s="40"/>
      <c r="U15" s="45"/>
      <c r="V15" s="40"/>
      <c r="W15" s="40"/>
      <c r="X15" s="45"/>
      <c r="Y15" s="40"/>
      <c r="Z15" s="40"/>
      <c r="AA15" s="36" t="str">
        <f aca="false">VLOOKUP(C15, 'Job Info'!A:C, 3, FALSE)</f>
        <v>SD</v>
      </c>
      <c r="AB15" s="41" t="str">
        <f aca="false">UPPER(E15)</f>
        <v>NO</v>
      </c>
      <c r="AC15" s="42" t="str">
        <f aca="false">AA15 &amp; AB15</f>
        <v>SDNO</v>
      </c>
      <c r="AD15" s="36" t="n">
        <f aca="false">COUNT(F15:Z15)</f>
        <v>1</v>
      </c>
      <c r="AE15" s="42" t="n">
        <f aca="false">HLOOKUP(AC15, 'Hiring Processes'!$A$3:$G$18, 2, FALSE)</f>
        <v>4</v>
      </c>
      <c r="AF15" s="36" t="n">
        <f aca="false">4+AD15</f>
        <v>5</v>
      </c>
      <c r="AG15" s="36" t="str">
        <f aca="true">OFFSET('Hiring Processes'!$A$1,(Candidates!AF15),(Candidates!AE15))</f>
        <v>Send Technical Assessment</v>
      </c>
      <c r="AH15" s="36" t="str">
        <f aca="true">IF(AP15=TRUE, "FAIL", OFFSET('Hiring Processes'!$A$1,(AF15),(Candidates!AE15)))</f>
        <v>FAIL</v>
      </c>
      <c r="AI15" s="43" t="b">
        <f aca="false">IF(AND(F15&lt;'Passing Scores'!$B$1, COUNT(F15) = 1),TRUE,FALSE)</f>
        <v>1</v>
      </c>
      <c r="AJ15" s="43" t="b">
        <f aca="false">IF(AND(I15&lt;'Passing Scores'!$B$3, COUNT(I15)=1),TRUE, FALSE)</f>
        <v>0</v>
      </c>
      <c r="AK15" s="43" t="b">
        <f aca="false">IF(AND(L15&lt;'Passing Scores'!$B$4,COUNT(L15)=1),TRUE, FALSE)</f>
        <v>0</v>
      </c>
      <c r="AL15" s="43" t="b">
        <f aca="false">IF(AND(O15&lt;'Passing Scores'!$B$5,COUNT(O15)=1),TRUE, FALSE)</f>
        <v>0</v>
      </c>
      <c r="AM15" s="43" t="b">
        <f aca="false">IF(AND(R15&lt;'Passing Scores'!$B$6,COUNT(R15)=1),TRUE, FALSE)</f>
        <v>0</v>
      </c>
      <c r="AN15" s="43" t="b">
        <f aca="false">IF(AND(U15&lt;'Passing Scores'!$B$7,COUNT(U15)=1),TRUE, FALSE)</f>
        <v>0</v>
      </c>
      <c r="AO15" s="43" t="b">
        <f aca="false">IF(AND(X15&lt;'Passing Scores'!$B$8,COUNT(X15)=1),TRUE, FALSE)</f>
        <v>0</v>
      </c>
      <c r="AP15" s="43" t="b">
        <f aca="false">OR(AI15,AJ15,AK15,AL15,AM15,AN15,AO15)</f>
        <v>1</v>
      </c>
      <c r="AQ15" s="36" t="n">
        <f aca="false">'Passing Scores'!$B$1</f>
        <v>5</v>
      </c>
      <c r="AR15" s="36" t="n">
        <f aca="false">'Passing Scores'!$B$2</f>
        <v>8</v>
      </c>
      <c r="AS15" s="36" t="n">
        <f aca="false">'Passing Scores'!$B$3</f>
        <v>7</v>
      </c>
      <c r="AT15" s="36" t="n">
        <f aca="false">'Passing Scores'!$B$4</f>
        <v>6</v>
      </c>
      <c r="AU15" s="36" t="n">
        <f aca="false">'Passing Scores'!$B$5</f>
        <v>7</v>
      </c>
      <c r="AV15" s="36" t="n">
        <f aca="false">'Passing Scores'!$B$6</f>
        <v>6</v>
      </c>
      <c r="AW15" s="36" t="n">
        <f aca="false">'Passing Scores'!$B$7</f>
        <v>8</v>
      </c>
      <c r="AX15" s="36" t="n">
        <f aca="false">'Passing Scores'!$B$8</f>
        <v>8</v>
      </c>
    </row>
    <row r="16" customFormat="false" ht="15.75" hidden="false" customHeight="true" outlineLevel="0" collapsed="false">
      <c r="A16" s="35" t="s">
        <v>138</v>
      </c>
      <c r="B16" s="36" t="str">
        <f aca="false">AH16</f>
        <v>FAIL</v>
      </c>
      <c r="C16" s="35" t="s">
        <v>129</v>
      </c>
      <c r="D16" s="36" t="str">
        <f aca="false">VLOOKUP(C16, 'Job Info'!A:C, 2, FALSE)</f>
        <v>Commercial Team</v>
      </c>
      <c r="E16" s="37" t="str">
        <f aca="false">IF(F16 &gt;= VLOOKUP("Resume Exceed", 'Passing Scores'!A:B, 2, FALSE), "yes", "no")</f>
        <v>no</v>
      </c>
      <c r="F16" s="38" t="n">
        <v>4</v>
      </c>
      <c r="G16" s="40"/>
      <c r="H16" s="40"/>
      <c r="I16" s="45"/>
      <c r="J16" s="40"/>
      <c r="K16" s="40"/>
      <c r="L16" s="45"/>
      <c r="M16" s="40"/>
      <c r="N16" s="40"/>
      <c r="O16" s="45"/>
      <c r="P16" s="40"/>
      <c r="Q16" s="40"/>
      <c r="R16" s="45"/>
      <c r="S16" s="40"/>
      <c r="T16" s="40"/>
      <c r="U16" s="45"/>
      <c r="V16" s="40"/>
      <c r="W16" s="40"/>
      <c r="X16" s="45"/>
      <c r="Y16" s="40"/>
      <c r="Z16" s="40"/>
      <c r="AA16" s="36" t="str">
        <f aca="false">VLOOKUP(C16, 'Job Info'!A:C, 3, FALSE)</f>
        <v>CT</v>
      </c>
      <c r="AB16" s="41" t="str">
        <f aca="false">UPPER(E16)</f>
        <v>NO</v>
      </c>
      <c r="AC16" s="42" t="str">
        <f aca="false">AA16 &amp; AB16</f>
        <v>CTNO</v>
      </c>
      <c r="AD16" s="36" t="n">
        <f aca="false">COUNT(F16:Z16)</f>
        <v>1</v>
      </c>
      <c r="AE16" s="42" t="n">
        <f aca="false">HLOOKUP(AC16, 'Hiring Processes'!$A$3:$G$18, 2, FALSE)</f>
        <v>2</v>
      </c>
      <c r="AF16" s="36" t="n">
        <f aca="false">4+AD16</f>
        <v>5</v>
      </c>
      <c r="AG16" s="36" t="str">
        <f aca="true">OFFSET('Hiring Processes'!$A$1,(Candidates!AF16),(Candidates!AE16))</f>
        <v>Send Personality Assessment</v>
      </c>
      <c r="AH16" s="36" t="str">
        <f aca="true">IF(AP16=TRUE, "FAIL", OFFSET('Hiring Processes'!$A$1,(AF16),(Candidates!AE16)))</f>
        <v>FAIL</v>
      </c>
      <c r="AI16" s="43" t="b">
        <f aca="false">IF(AND(F16&lt;'Passing Scores'!$B$1, COUNT(F16) = 1),TRUE,FALSE)</f>
        <v>1</v>
      </c>
      <c r="AJ16" s="43" t="b">
        <f aca="false">IF(AND(I16&lt;'Passing Scores'!$B$3, COUNT(I16)=1),TRUE, FALSE)</f>
        <v>0</v>
      </c>
      <c r="AK16" s="43" t="b">
        <f aca="false">IF(AND(L16&lt;'Passing Scores'!$B$4,COUNT(L16)=1),TRUE, FALSE)</f>
        <v>0</v>
      </c>
      <c r="AL16" s="43" t="b">
        <f aca="false">IF(AND(O16&lt;'Passing Scores'!$B$5,COUNT(O16)=1),TRUE, FALSE)</f>
        <v>0</v>
      </c>
      <c r="AM16" s="43" t="b">
        <f aca="false">IF(AND(R16&lt;'Passing Scores'!$B$6,COUNT(R16)=1),TRUE, FALSE)</f>
        <v>0</v>
      </c>
      <c r="AN16" s="43" t="b">
        <f aca="false">IF(AND(U16&lt;'Passing Scores'!$B$7,COUNT(U16)=1),TRUE, FALSE)</f>
        <v>0</v>
      </c>
      <c r="AO16" s="43" t="b">
        <f aca="false">IF(AND(X16&lt;'Passing Scores'!$B$8,COUNT(X16)=1),TRUE, FALSE)</f>
        <v>0</v>
      </c>
      <c r="AP16" s="43" t="b">
        <f aca="false">OR(AI16,AJ16,AK16,AL16,AM16,AN16,AO16)</f>
        <v>1</v>
      </c>
      <c r="AQ16" s="36" t="n">
        <f aca="false">'Passing Scores'!$B$1</f>
        <v>5</v>
      </c>
      <c r="AR16" s="36" t="n">
        <f aca="false">'Passing Scores'!$B$2</f>
        <v>8</v>
      </c>
      <c r="AS16" s="36" t="n">
        <f aca="false">'Passing Scores'!$B$3</f>
        <v>7</v>
      </c>
      <c r="AT16" s="36" t="n">
        <f aca="false">'Passing Scores'!$B$4</f>
        <v>6</v>
      </c>
      <c r="AU16" s="36" t="n">
        <f aca="false">'Passing Scores'!$B$5</f>
        <v>7</v>
      </c>
      <c r="AV16" s="36" t="n">
        <f aca="false">'Passing Scores'!$B$6</f>
        <v>6</v>
      </c>
      <c r="AW16" s="36" t="n">
        <f aca="false">'Passing Scores'!$B$7</f>
        <v>8</v>
      </c>
      <c r="AX16" s="36" t="n">
        <f aca="false">'Passing Scores'!$B$8</f>
        <v>8</v>
      </c>
    </row>
    <row r="17" customFormat="false" ht="15.75" hidden="false" customHeight="true" outlineLevel="0" collapsed="false">
      <c r="A17" s="35" t="s">
        <v>139</v>
      </c>
      <c r="B17" s="36" t="str">
        <f aca="false">AH17</f>
        <v>Send Technical Assessment</v>
      </c>
      <c r="C17" s="35" t="s">
        <v>121</v>
      </c>
      <c r="D17" s="36" t="str">
        <f aca="false">VLOOKUP(C17, 'Job Info'!A:C, 2, FALSE)</f>
        <v>Software Developer</v>
      </c>
      <c r="E17" s="37" t="str">
        <f aca="false">IF(F17 &gt;= VLOOKUP("Resume Exceed", 'Passing Scores'!A:B, 2, FALSE), "yes", "no")</f>
        <v>no</v>
      </c>
      <c r="F17" s="38" t="n">
        <v>5</v>
      </c>
      <c r="G17" s="40"/>
      <c r="H17" s="40"/>
      <c r="I17" s="45"/>
      <c r="J17" s="40"/>
      <c r="K17" s="40"/>
      <c r="L17" s="45"/>
      <c r="M17" s="40"/>
      <c r="N17" s="40"/>
      <c r="O17" s="45"/>
      <c r="P17" s="40"/>
      <c r="Q17" s="40"/>
      <c r="R17" s="45"/>
      <c r="S17" s="40"/>
      <c r="T17" s="40"/>
      <c r="U17" s="45"/>
      <c r="V17" s="40"/>
      <c r="W17" s="40"/>
      <c r="X17" s="45"/>
      <c r="Y17" s="40"/>
      <c r="Z17" s="40"/>
      <c r="AA17" s="36" t="str">
        <f aca="false">VLOOKUP(C17, 'Job Info'!A:C, 3, FALSE)</f>
        <v>SD</v>
      </c>
      <c r="AB17" s="41" t="str">
        <f aca="false">UPPER(E17)</f>
        <v>NO</v>
      </c>
      <c r="AC17" s="42" t="str">
        <f aca="false">AA17 &amp; AB17</f>
        <v>SDNO</v>
      </c>
      <c r="AD17" s="36" t="n">
        <f aca="false">COUNT(F17:Z17)</f>
        <v>1</v>
      </c>
      <c r="AE17" s="42" t="n">
        <f aca="false">HLOOKUP(AC17, 'Hiring Processes'!$A$3:$G$18, 2, FALSE)</f>
        <v>4</v>
      </c>
      <c r="AF17" s="36" t="n">
        <f aca="false">4+AD17</f>
        <v>5</v>
      </c>
      <c r="AG17" s="36" t="str">
        <f aca="true">OFFSET('Hiring Processes'!$A$1,(Candidates!AF17),(Candidates!AE17))</f>
        <v>Send Technical Assessment</v>
      </c>
      <c r="AH17" s="36" t="str">
        <f aca="true">IF(AP17=TRUE, "FAIL", OFFSET('Hiring Processes'!$A$1,(AF17),(Candidates!AE17)))</f>
        <v>Send Technical Assessment</v>
      </c>
      <c r="AI17" s="43" t="b">
        <f aca="false">IF(AND(F17&lt;'Passing Scores'!$B$1, COUNT(F17) = 1),TRUE,FALSE)</f>
        <v>0</v>
      </c>
      <c r="AJ17" s="43" t="b">
        <f aca="false">IF(AND(I17&lt;'Passing Scores'!$B$3, COUNT(I17)=1),TRUE, FALSE)</f>
        <v>0</v>
      </c>
      <c r="AK17" s="43" t="b">
        <f aca="false">IF(AND(L17&lt;'Passing Scores'!$B$4,COUNT(L17)=1),TRUE, FALSE)</f>
        <v>0</v>
      </c>
      <c r="AL17" s="43" t="b">
        <f aca="false">IF(AND(O17&lt;'Passing Scores'!$B$5,COUNT(O17)=1),TRUE, FALSE)</f>
        <v>0</v>
      </c>
      <c r="AM17" s="43" t="b">
        <f aca="false">IF(AND(R17&lt;'Passing Scores'!$B$6,COUNT(R17)=1),TRUE, FALSE)</f>
        <v>0</v>
      </c>
      <c r="AN17" s="43" t="b">
        <f aca="false">IF(AND(U17&lt;'Passing Scores'!$B$7,COUNT(U17)=1),TRUE, FALSE)</f>
        <v>0</v>
      </c>
      <c r="AO17" s="43" t="b">
        <f aca="false">IF(AND(X17&lt;'Passing Scores'!$B$8,COUNT(X17)=1),TRUE, FALSE)</f>
        <v>0</v>
      </c>
      <c r="AP17" s="43" t="b">
        <f aca="false">OR(AI17,AJ17,AK17,AL17,AM17,AN17,AO17)</f>
        <v>0</v>
      </c>
      <c r="AQ17" s="36" t="n">
        <f aca="false">'Passing Scores'!$B$1</f>
        <v>5</v>
      </c>
      <c r="AR17" s="36" t="n">
        <f aca="false">'Passing Scores'!$B$2</f>
        <v>8</v>
      </c>
      <c r="AS17" s="36" t="n">
        <f aca="false">'Passing Scores'!$B$3</f>
        <v>7</v>
      </c>
      <c r="AT17" s="36" t="n">
        <f aca="false">'Passing Scores'!$B$4</f>
        <v>6</v>
      </c>
      <c r="AU17" s="36" t="n">
        <f aca="false">'Passing Scores'!$B$5</f>
        <v>7</v>
      </c>
      <c r="AV17" s="36" t="n">
        <f aca="false">'Passing Scores'!$B$6</f>
        <v>6</v>
      </c>
      <c r="AW17" s="36" t="n">
        <f aca="false">'Passing Scores'!$B$7</f>
        <v>8</v>
      </c>
      <c r="AX17" s="36" t="n">
        <f aca="false">'Passing Scores'!$B$8</f>
        <v>8</v>
      </c>
    </row>
    <row r="18" customFormat="false" ht="15.75" hidden="false" customHeight="true" outlineLevel="0" collapsed="false">
      <c r="A18" s="35" t="s">
        <v>140</v>
      </c>
      <c r="B18" s="36" t="str">
        <f aca="false">AH18</f>
        <v>Ask for Portfolio</v>
      </c>
      <c r="C18" s="35" t="s">
        <v>125</v>
      </c>
      <c r="D18" s="36" t="str">
        <f aca="false">VLOOKUP(C18, 'Job Info'!A:C, 2, FALSE)</f>
        <v>Graphic Designer</v>
      </c>
      <c r="E18" s="37" t="str">
        <f aca="false">IF(F18 &gt;= VLOOKUP("Resume Exceed", 'Passing Scores'!A:B, 2, FALSE), "yes", "no")</f>
        <v>no</v>
      </c>
      <c r="F18" s="38" t="n">
        <v>6</v>
      </c>
      <c r="G18" s="40"/>
      <c r="H18" s="40"/>
      <c r="I18" s="45"/>
      <c r="J18" s="40"/>
      <c r="K18" s="40"/>
      <c r="L18" s="45"/>
      <c r="M18" s="40"/>
      <c r="N18" s="40"/>
      <c r="O18" s="45"/>
      <c r="P18" s="40"/>
      <c r="Q18" s="40"/>
      <c r="R18" s="45"/>
      <c r="S18" s="40"/>
      <c r="T18" s="40"/>
      <c r="U18" s="45"/>
      <c r="V18" s="40"/>
      <c r="W18" s="40"/>
      <c r="X18" s="45"/>
      <c r="Y18" s="40"/>
      <c r="Z18" s="40"/>
      <c r="AA18" s="36" t="str">
        <f aca="false">VLOOKUP(C18, 'Job Info'!A:C, 3, FALSE)</f>
        <v>GD</v>
      </c>
      <c r="AB18" s="41" t="str">
        <f aca="false">UPPER(E18)</f>
        <v>NO</v>
      </c>
      <c r="AC18" s="42" t="str">
        <f aca="false">AA18 &amp; AB18</f>
        <v>GDNO</v>
      </c>
      <c r="AD18" s="36" t="n">
        <f aca="false">COUNT(F18:Z18)</f>
        <v>1</v>
      </c>
      <c r="AE18" s="42" t="n">
        <f aca="false">HLOOKUP(AC18, 'Hiring Processes'!$A$3:$G$18, 2, FALSE)</f>
        <v>6</v>
      </c>
      <c r="AF18" s="36" t="n">
        <f aca="false">4+AD18</f>
        <v>5</v>
      </c>
      <c r="AG18" s="36" t="str">
        <f aca="true">OFFSET('Hiring Processes'!$A$1,(Candidates!AF18),(Candidates!AE18))</f>
        <v>Ask for Portfolio</v>
      </c>
      <c r="AH18" s="36" t="str">
        <f aca="true">IF(AP18=TRUE, "FAIL", OFFSET('Hiring Processes'!$A$1,(AF18),(Candidates!AE18)))</f>
        <v>Ask for Portfolio</v>
      </c>
      <c r="AI18" s="43" t="b">
        <f aca="false">IF(AND(F18&lt;'Passing Scores'!$B$1, COUNT(F18) = 1),TRUE,FALSE)</f>
        <v>0</v>
      </c>
      <c r="AJ18" s="43" t="b">
        <f aca="false">IF(AND(I18&lt;'Passing Scores'!$B$3, COUNT(I18)=1),TRUE, FALSE)</f>
        <v>0</v>
      </c>
      <c r="AK18" s="43" t="b">
        <f aca="false">IF(AND(L18&lt;'Passing Scores'!$B$4,COUNT(L18)=1),TRUE, FALSE)</f>
        <v>0</v>
      </c>
      <c r="AL18" s="43" t="b">
        <f aca="false">IF(AND(O18&lt;'Passing Scores'!$B$5,COUNT(O18)=1),TRUE, FALSE)</f>
        <v>0</v>
      </c>
      <c r="AM18" s="43" t="b">
        <f aca="false">IF(AND(R18&lt;'Passing Scores'!$B$6,COUNT(R18)=1),TRUE, FALSE)</f>
        <v>0</v>
      </c>
      <c r="AN18" s="43" t="b">
        <f aca="false">IF(AND(U18&lt;'Passing Scores'!$B$7,COUNT(U18)=1),TRUE, FALSE)</f>
        <v>0</v>
      </c>
      <c r="AO18" s="43" t="b">
        <f aca="false">IF(AND(X18&lt;'Passing Scores'!$B$8,COUNT(X18)=1),TRUE, FALSE)</f>
        <v>0</v>
      </c>
      <c r="AP18" s="43" t="b">
        <f aca="false">OR(AI18,AJ18,AK18,AL18,AM18,AN18,AO18)</f>
        <v>0</v>
      </c>
      <c r="AQ18" s="36" t="n">
        <f aca="false">'Passing Scores'!$B$1</f>
        <v>5</v>
      </c>
      <c r="AR18" s="36" t="n">
        <f aca="false">'Passing Scores'!$B$2</f>
        <v>8</v>
      </c>
      <c r="AS18" s="36" t="n">
        <f aca="false">'Passing Scores'!$B$3</f>
        <v>7</v>
      </c>
      <c r="AT18" s="36" t="n">
        <f aca="false">'Passing Scores'!$B$4</f>
        <v>6</v>
      </c>
      <c r="AU18" s="36" t="n">
        <f aca="false">'Passing Scores'!$B$5</f>
        <v>7</v>
      </c>
      <c r="AV18" s="36" t="n">
        <f aca="false">'Passing Scores'!$B$6</f>
        <v>6</v>
      </c>
      <c r="AW18" s="36" t="n">
        <f aca="false">'Passing Scores'!$B$7</f>
        <v>8</v>
      </c>
      <c r="AX18" s="36" t="n">
        <f aca="false">'Passing Scores'!$B$8</f>
        <v>8</v>
      </c>
    </row>
    <row r="19" customFormat="false" ht="15.75" hidden="false" customHeight="true" outlineLevel="0" collapsed="false">
      <c r="A19" s="35" t="s">
        <v>141</v>
      </c>
      <c r="B19" s="36" t="str">
        <f aca="false">AH19</f>
        <v>Send Technical Assessment</v>
      </c>
      <c r="C19" s="35" t="s">
        <v>119</v>
      </c>
      <c r="D19" s="36" t="str">
        <f aca="false">VLOOKUP(C19, 'Job Info'!A:C, 2, FALSE)</f>
        <v>Software Developer</v>
      </c>
      <c r="E19" s="37" t="str">
        <f aca="false">IF(F19 &gt;= VLOOKUP("Resume Exceed", 'Passing Scores'!A:B, 2, FALSE), "yes", "no")</f>
        <v>no</v>
      </c>
      <c r="F19" s="38" t="n">
        <v>7</v>
      </c>
      <c r="G19" s="40"/>
      <c r="H19" s="40"/>
      <c r="I19" s="45"/>
      <c r="J19" s="40"/>
      <c r="K19" s="40"/>
      <c r="L19" s="45"/>
      <c r="M19" s="40"/>
      <c r="N19" s="40"/>
      <c r="O19" s="45"/>
      <c r="P19" s="40"/>
      <c r="Q19" s="40"/>
      <c r="R19" s="45"/>
      <c r="S19" s="40"/>
      <c r="T19" s="40"/>
      <c r="U19" s="45"/>
      <c r="V19" s="40"/>
      <c r="W19" s="40"/>
      <c r="X19" s="45"/>
      <c r="Y19" s="40"/>
      <c r="Z19" s="40"/>
      <c r="AA19" s="36" t="str">
        <f aca="false">VLOOKUP(C19, 'Job Info'!A:C, 3, FALSE)</f>
        <v>SD</v>
      </c>
      <c r="AB19" s="41" t="str">
        <f aca="false">UPPER(E19)</f>
        <v>NO</v>
      </c>
      <c r="AC19" s="42" t="str">
        <f aca="false">AA19 &amp; AB19</f>
        <v>SDNO</v>
      </c>
      <c r="AD19" s="36" t="n">
        <f aca="false">COUNT(F19:Z19)</f>
        <v>1</v>
      </c>
      <c r="AE19" s="42" t="n">
        <f aca="false">HLOOKUP(AC19, 'Hiring Processes'!$A$3:$G$18, 2, FALSE)</f>
        <v>4</v>
      </c>
      <c r="AF19" s="36" t="n">
        <f aca="false">4+AD19</f>
        <v>5</v>
      </c>
      <c r="AG19" s="36" t="str">
        <f aca="true">OFFSET('Hiring Processes'!$A$1,(Candidates!AF19),(Candidates!AE19))</f>
        <v>Send Technical Assessment</v>
      </c>
      <c r="AH19" s="36" t="str">
        <f aca="true">IF(AP19=TRUE, "FAIL", OFFSET('Hiring Processes'!$A$1,(AF19),(Candidates!AE19)))</f>
        <v>Send Technical Assessment</v>
      </c>
      <c r="AI19" s="43" t="b">
        <f aca="false">IF(AND(F19&lt;'Passing Scores'!$B$1, COUNT(F19) = 1),TRUE,FALSE)</f>
        <v>0</v>
      </c>
      <c r="AJ19" s="43" t="b">
        <f aca="false">IF(AND(I19&lt;'Passing Scores'!$B$3, COUNT(I19)=1),TRUE, FALSE)</f>
        <v>0</v>
      </c>
      <c r="AK19" s="43" t="b">
        <f aca="false">IF(AND(L19&lt;'Passing Scores'!$B$4,COUNT(L19)=1),TRUE, FALSE)</f>
        <v>0</v>
      </c>
      <c r="AL19" s="43" t="b">
        <f aca="false">IF(AND(O19&lt;'Passing Scores'!$B$5,COUNT(O19)=1),TRUE, FALSE)</f>
        <v>0</v>
      </c>
      <c r="AM19" s="43" t="b">
        <f aca="false">IF(AND(R19&lt;'Passing Scores'!$B$6,COUNT(R19)=1),TRUE, FALSE)</f>
        <v>0</v>
      </c>
      <c r="AN19" s="43" t="b">
        <f aca="false">IF(AND(U19&lt;'Passing Scores'!$B$7,COUNT(U19)=1),TRUE, FALSE)</f>
        <v>0</v>
      </c>
      <c r="AO19" s="43" t="b">
        <f aca="false">IF(AND(X19&lt;'Passing Scores'!$B$8,COUNT(X19)=1),TRUE, FALSE)</f>
        <v>0</v>
      </c>
      <c r="AP19" s="43" t="b">
        <f aca="false">OR(AI19,AJ19,AK19,AL19,AM19,AN19,AO19)</f>
        <v>0</v>
      </c>
      <c r="AQ19" s="36" t="n">
        <f aca="false">'Passing Scores'!$B$1</f>
        <v>5</v>
      </c>
      <c r="AR19" s="36" t="n">
        <f aca="false">'Passing Scores'!$B$2</f>
        <v>8</v>
      </c>
      <c r="AS19" s="36" t="n">
        <f aca="false">'Passing Scores'!$B$3</f>
        <v>7</v>
      </c>
      <c r="AT19" s="36" t="n">
        <f aca="false">'Passing Scores'!$B$4</f>
        <v>6</v>
      </c>
      <c r="AU19" s="36" t="n">
        <f aca="false">'Passing Scores'!$B$5</f>
        <v>7</v>
      </c>
      <c r="AV19" s="36" t="n">
        <f aca="false">'Passing Scores'!$B$6</f>
        <v>6</v>
      </c>
      <c r="AW19" s="36" t="n">
        <f aca="false">'Passing Scores'!$B$7</f>
        <v>8</v>
      </c>
      <c r="AX19" s="36" t="n">
        <f aca="false">'Passing Scores'!$B$8</f>
        <v>8</v>
      </c>
    </row>
    <row r="20" customFormat="false" ht="15.75" hidden="false" customHeight="true" outlineLevel="0" collapsed="false">
      <c r="A20" s="35" t="s">
        <v>142</v>
      </c>
      <c r="B20" s="36" t="str">
        <f aca="false">AH20</f>
        <v>Schedule Initial Meeting</v>
      </c>
      <c r="C20" s="35" t="s">
        <v>117</v>
      </c>
      <c r="D20" s="36" t="str">
        <f aca="false">VLOOKUP(C20, 'Job Info'!A:C, 2, FALSE)</f>
        <v>Software Developer</v>
      </c>
      <c r="E20" s="37" t="str">
        <f aca="false">IF(F20 &gt;= VLOOKUP("Resume Exceed", 'Passing Scores'!A:B, 2, FALSE), "yes", "no")</f>
        <v>yes</v>
      </c>
      <c r="F20" s="38" t="n">
        <v>8</v>
      </c>
      <c r="G20" s="40"/>
      <c r="H20" s="40"/>
      <c r="I20" s="45"/>
      <c r="J20" s="40"/>
      <c r="K20" s="40"/>
      <c r="L20" s="45"/>
      <c r="M20" s="40"/>
      <c r="N20" s="40"/>
      <c r="O20" s="45"/>
      <c r="P20" s="40"/>
      <c r="Q20" s="40"/>
      <c r="R20" s="45"/>
      <c r="S20" s="40"/>
      <c r="T20" s="40"/>
      <c r="U20" s="45"/>
      <c r="V20" s="40"/>
      <c r="W20" s="40"/>
      <c r="X20" s="45"/>
      <c r="Y20" s="40"/>
      <c r="Z20" s="40"/>
      <c r="AA20" s="36" t="str">
        <f aca="false">VLOOKUP(C20, 'Job Info'!A:C, 3, FALSE)</f>
        <v>SD</v>
      </c>
      <c r="AB20" s="41" t="str">
        <f aca="false">UPPER(E20)</f>
        <v>YES</v>
      </c>
      <c r="AC20" s="42" t="str">
        <f aca="false">AA20 &amp; AB20</f>
        <v>SDYES</v>
      </c>
      <c r="AD20" s="36" t="n">
        <f aca="false">COUNT(F20:Z20)</f>
        <v>1</v>
      </c>
      <c r="AE20" s="42" t="n">
        <f aca="false">HLOOKUP(AC20, 'Hiring Processes'!$A$3:$G$18, 2, FALSE)</f>
        <v>3</v>
      </c>
      <c r="AF20" s="36" t="n">
        <f aca="false">4+AD20</f>
        <v>5</v>
      </c>
      <c r="AG20" s="36" t="str">
        <f aca="true">OFFSET('Hiring Processes'!$A$1,(Candidates!AF20),(Candidates!AE20))</f>
        <v>Schedule Initial Meeting</v>
      </c>
      <c r="AH20" s="36" t="str">
        <f aca="true">IF(AP20=TRUE, "FAIL", OFFSET('Hiring Processes'!$A$1,(AF20),(Candidates!AE20)))</f>
        <v>Schedule Initial Meeting</v>
      </c>
      <c r="AI20" s="43" t="b">
        <f aca="false">IF(AND(F20&lt;'Passing Scores'!$B$1, COUNT(F20) = 1),TRUE,FALSE)</f>
        <v>0</v>
      </c>
      <c r="AJ20" s="43" t="b">
        <f aca="false">IF(AND(I20&lt;'Passing Scores'!$B$3, COUNT(I20)=1),TRUE, FALSE)</f>
        <v>0</v>
      </c>
      <c r="AK20" s="43" t="b">
        <f aca="false">IF(AND(L20&lt;'Passing Scores'!$B$4,COUNT(L20)=1),TRUE, FALSE)</f>
        <v>0</v>
      </c>
      <c r="AL20" s="43" t="b">
        <f aca="false">IF(AND(O20&lt;'Passing Scores'!$B$5,COUNT(O20)=1),TRUE, FALSE)</f>
        <v>0</v>
      </c>
      <c r="AM20" s="43" t="b">
        <f aca="false">IF(AND(R20&lt;'Passing Scores'!$B$6,COUNT(R20)=1),TRUE, FALSE)</f>
        <v>0</v>
      </c>
      <c r="AN20" s="43" t="b">
        <f aca="false">IF(AND(U20&lt;'Passing Scores'!$B$7,COUNT(U20)=1),TRUE, FALSE)</f>
        <v>0</v>
      </c>
      <c r="AO20" s="43" t="b">
        <f aca="false">IF(AND(X20&lt;'Passing Scores'!$B$8,COUNT(X20)=1),TRUE, FALSE)</f>
        <v>0</v>
      </c>
      <c r="AP20" s="43" t="b">
        <f aca="false">OR(AI20,AJ20,AK20,AL20,AM20,AN20,AO20)</f>
        <v>0</v>
      </c>
      <c r="AQ20" s="36" t="n">
        <f aca="false">'Passing Scores'!$B$1</f>
        <v>5</v>
      </c>
      <c r="AR20" s="36" t="n">
        <f aca="false">'Passing Scores'!$B$2</f>
        <v>8</v>
      </c>
      <c r="AS20" s="36" t="n">
        <f aca="false">'Passing Scores'!$B$3</f>
        <v>7</v>
      </c>
      <c r="AT20" s="36" t="n">
        <f aca="false">'Passing Scores'!$B$4</f>
        <v>6</v>
      </c>
      <c r="AU20" s="36" t="n">
        <f aca="false">'Passing Scores'!$B$5</f>
        <v>7</v>
      </c>
      <c r="AV20" s="36" t="n">
        <f aca="false">'Passing Scores'!$B$6</f>
        <v>6</v>
      </c>
      <c r="AW20" s="36" t="n">
        <f aca="false">'Passing Scores'!$B$7</f>
        <v>8</v>
      </c>
      <c r="AX20" s="36" t="n">
        <f aca="false">'Passing Scores'!$B$8</f>
        <v>8</v>
      </c>
    </row>
    <row r="21" customFormat="false" ht="15.75" hidden="false" customHeight="true" outlineLevel="0" collapsed="false">
      <c r="A21" s="35" t="s">
        <v>143</v>
      </c>
      <c r="B21" s="36" t="str">
        <f aca="false">AH21</f>
        <v>Schedule Initial Meeting</v>
      </c>
      <c r="C21" s="35" t="s">
        <v>123</v>
      </c>
      <c r="D21" s="36" t="str">
        <f aca="false">VLOOKUP(C21, 'Job Info'!A:C, 2, FALSE)</f>
        <v>Graphic Designer</v>
      </c>
      <c r="E21" s="37" t="str">
        <f aca="false">IF(F21 &gt;= VLOOKUP("Resume Exceed", 'Passing Scores'!A:B, 2, FALSE), "yes", "no")</f>
        <v>yes</v>
      </c>
      <c r="F21" s="38" t="n">
        <v>9</v>
      </c>
      <c r="G21" s="40"/>
      <c r="H21" s="40"/>
      <c r="I21" s="45"/>
      <c r="J21" s="40"/>
      <c r="K21" s="40"/>
      <c r="L21" s="45"/>
      <c r="M21" s="40"/>
      <c r="N21" s="40"/>
      <c r="O21" s="45"/>
      <c r="P21" s="40"/>
      <c r="Q21" s="40"/>
      <c r="R21" s="45"/>
      <c r="S21" s="40"/>
      <c r="T21" s="40"/>
      <c r="U21" s="45"/>
      <c r="V21" s="40"/>
      <c r="W21" s="40"/>
      <c r="X21" s="45"/>
      <c r="Y21" s="40"/>
      <c r="Z21" s="40"/>
      <c r="AA21" s="36" t="str">
        <f aca="false">VLOOKUP(C21, 'Job Info'!A:C, 3, FALSE)</f>
        <v>GD</v>
      </c>
      <c r="AB21" s="41" t="str">
        <f aca="false">UPPER(E21)</f>
        <v>YES</v>
      </c>
      <c r="AC21" s="42" t="str">
        <f aca="false">AA21 &amp; AB21</f>
        <v>GDYES</v>
      </c>
      <c r="AD21" s="36" t="n">
        <f aca="false">COUNT(F21:Z21)</f>
        <v>1</v>
      </c>
      <c r="AE21" s="42" t="n">
        <f aca="false">HLOOKUP(AC21, 'Hiring Processes'!$A$3:$G$18, 2, FALSE)</f>
        <v>5</v>
      </c>
      <c r="AF21" s="36" t="n">
        <f aca="false">4+AD21</f>
        <v>5</v>
      </c>
      <c r="AG21" s="36" t="str">
        <f aca="true">OFFSET('Hiring Processes'!$A$1,(Candidates!AF21),(Candidates!AE21))</f>
        <v>Schedule Initial Meeting</v>
      </c>
      <c r="AH21" s="36" t="str">
        <f aca="true">IF(AP21=TRUE, "FAIL", OFFSET('Hiring Processes'!$A$1,(AF21),(Candidates!AE21)))</f>
        <v>Schedule Initial Meeting</v>
      </c>
      <c r="AI21" s="43" t="b">
        <f aca="false">IF(AND(F21&lt;'Passing Scores'!$B$1, COUNT(F21) = 1),TRUE,FALSE)</f>
        <v>0</v>
      </c>
      <c r="AJ21" s="43" t="b">
        <f aca="false">IF(AND(I21&lt;'Passing Scores'!$B$3, COUNT(I21)=1),TRUE, FALSE)</f>
        <v>0</v>
      </c>
      <c r="AK21" s="43" t="b">
        <f aca="false">IF(AND(L21&lt;'Passing Scores'!$B$4,COUNT(L21)=1),TRUE, FALSE)</f>
        <v>0</v>
      </c>
      <c r="AL21" s="43" t="b">
        <f aca="false">IF(AND(O21&lt;'Passing Scores'!$B$5,COUNT(O21)=1),TRUE, FALSE)</f>
        <v>0</v>
      </c>
      <c r="AM21" s="43" t="b">
        <f aca="false">IF(AND(R21&lt;'Passing Scores'!$B$6,COUNT(R21)=1),TRUE, FALSE)</f>
        <v>0</v>
      </c>
      <c r="AN21" s="43" t="b">
        <f aca="false">IF(AND(U21&lt;'Passing Scores'!$B$7,COUNT(U21)=1),TRUE, FALSE)</f>
        <v>0</v>
      </c>
      <c r="AO21" s="43" t="b">
        <f aca="false">IF(AND(X21&lt;'Passing Scores'!$B$8,COUNT(X21)=1),TRUE, FALSE)</f>
        <v>0</v>
      </c>
      <c r="AP21" s="43" t="b">
        <f aca="false">OR(AI21,AJ21,AK21,AL21,AM21,AN21,AO21)</f>
        <v>0</v>
      </c>
      <c r="AQ21" s="36" t="n">
        <f aca="false">'Passing Scores'!$B$1</f>
        <v>5</v>
      </c>
      <c r="AR21" s="36" t="n">
        <f aca="false">'Passing Scores'!$B$2</f>
        <v>8</v>
      </c>
      <c r="AS21" s="36" t="n">
        <f aca="false">'Passing Scores'!$B$3</f>
        <v>7</v>
      </c>
      <c r="AT21" s="36" t="n">
        <f aca="false">'Passing Scores'!$B$4</f>
        <v>6</v>
      </c>
      <c r="AU21" s="36" t="n">
        <f aca="false">'Passing Scores'!$B$5</f>
        <v>7</v>
      </c>
      <c r="AV21" s="36" t="n">
        <f aca="false">'Passing Scores'!$B$6</f>
        <v>6</v>
      </c>
      <c r="AW21" s="36" t="n">
        <f aca="false">'Passing Scores'!$B$7</f>
        <v>8</v>
      </c>
      <c r="AX21" s="36" t="n">
        <f aca="false">'Passing Scores'!$B$8</f>
        <v>8</v>
      </c>
    </row>
    <row r="22" customFormat="false" ht="15.75" hidden="false" customHeight="true" outlineLevel="0" collapsed="false">
      <c r="A22" s="35" t="s">
        <v>144</v>
      </c>
      <c r="B22" s="36" t="str">
        <f aca="false">AH22</f>
        <v>Schedule Initial Meeting</v>
      </c>
      <c r="C22" s="35" t="s">
        <v>129</v>
      </c>
      <c r="D22" s="36" t="str">
        <f aca="false">VLOOKUP(C22, 'Job Info'!A:C, 2, FALSE)</f>
        <v>Commercial Team</v>
      </c>
      <c r="E22" s="37" t="str">
        <f aca="false">IF(F22 &gt;= VLOOKUP("Resume Exceed", 'Passing Scores'!A:B, 2, FALSE), "yes", "no")</f>
        <v>yes</v>
      </c>
      <c r="F22" s="38" t="n">
        <v>10</v>
      </c>
      <c r="G22" s="40"/>
      <c r="H22" s="40"/>
      <c r="I22" s="45"/>
      <c r="J22" s="40"/>
      <c r="K22" s="40"/>
      <c r="L22" s="45"/>
      <c r="M22" s="40"/>
      <c r="N22" s="40"/>
      <c r="O22" s="45"/>
      <c r="P22" s="40"/>
      <c r="Q22" s="40"/>
      <c r="R22" s="45"/>
      <c r="S22" s="40"/>
      <c r="T22" s="40"/>
      <c r="U22" s="45"/>
      <c r="V22" s="40"/>
      <c r="W22" s="40"/>
      <c r="X22" s="45"/>
      <c r="Y22" s="40"/>
      <c r="Z22" s="40"/>
      <c r="AA22" s="36" t="str">
        <f aca="false">VLOOKUP(C22, 'Job Info'!A:C, 3, FALSE)</f>
        <v>CT</v>
      </c>
      <c r="AB22" s="41" t="str">
        <f aca="false">UPPER(E22)</f>
        <v>YES</v>
      </c>
      <c r="AC22" s="42" t="str">
        <f aca="false">AA22 &amp; AB22</f>
        <v>CTYES</v>
      </c>
      <c r="AD22" s="36" t="n">
        <f aca="false">COUNT(F22:Z22)</f>
        <v>1</v>
      </c>
      <c r="AE22" s="42" t="n">
        <f aca="false">HLOOKUP(AC22, 'Hiring Processes'!$A$3:$G$18, 2, FALSE)</f>
        <v>1</v>
      </c>
      <c r="AF22" s="36" t="n">
        <f aca="false">4+AD22</f>
        <v>5</v>
      </c>
      <c r="AG22" s="36" t="str">
        <f aca="true">OFFSET('Hiring Processes'!$A$1,(Candidates!AF22),(Candidates!AE22))</f>
        <v>Schedule Initial Meeting</v>
      </c>
      <c r="AH22" s="36" t="str">
        <f aca="true">IF(AP22=TRUE, "FAIL", OFFSET('Hiring Processes'!$A$1,(AF22),(Candidates!AE22)))</f>
        <v>Schedule Initial Meeting</v>
      </c>
      <c r="AI22" s="43" t="b">
        <f aca="false">IF(AND(F22&lt;'Passing Scores'!$B$1, COUNT(F22) = 1),TRUE,FALSE)</f>
        <v>0</v>
      </c>
      <c r="AJ22" s="43" t="b">
        <f aca="false">IF(AND(I22&lt;'Passing Scores'!$B$3, COUNT(I22)=1),TRUE, FALSE)</f>
        <v>0</v>
      </c>
      <c r="AK22" s="43" t="b">
        <f aca="false">IF(AND(L22&lt;'Passing Scores'!$B$4,COUNT(L22)=1),TRUE, FALSE)</f>
        <v>0</v>
      </c>
      <c r="AL22" s="43" t="b">
        <f aca="false">IF(AND(O22&lt;'Passing Scores'!$B$5,COUNT(O22)=1),TRUE, FALSE)</f>
        <v>0</v>
      </c>
      <c r="AM22" s="43" t="b">
        <f aca="false">IF(AND(R22&lt;'Passing Scores'!$B$6,COUNT(R22)=1),TRUE, FALSE)</f>
        <v>0</v>
      </c>
      <c r="AN22" s="43" t="b">
        <f aca="false">IF(AND(U22&lt;'Passing Scores'!$B$7,COUNT(U22)=1),TRUE, FALSE)</f>
        <v>0</v>
      </c>
      <c r="AO22" s="43" t="b">
        <f aca="false">IF(AND(X22&lt;'Passing Scores'!$B$8,COUNT(X22)=1),TRUE, FALSE)</f>
        <v>0</v>
      </c>
      <c r="AP22" s="43" t="b">
        <f aca="false">OR(AI22,AJ22,AK22,AL22,AM22,AN22,AO22)</f>
        <v>0</v>
      </c>
      <c r="AQ22" s="36" t="n">
        <f aca="false">'Passing Scores'!$B$1</f>
        <v>5</v>
      </c>
      <c r="AR22" s="36" t="n">
        <f aca="false">'Passing Scores'!$B$2</f>
        <v>8</v>
      </c>
      <c r="AS22" s="36" t="n">
        <f aca="false">'Passing Scores'!$B$3</f>
        <v>7</v>
      </c>
      <c r="AT22" s="36" t="n">
        <f aca="false">'Passing Scores'!$B$4</f>
        <v>6</v>
      </c>
      <c r="AU22" s="36" t="n">
        <f aca="false">'Passing Scores'!$B$5</f>
        <v>7</v>
      </c>
      <c r="AV22" s="36" t="n">
        <f aca="false">'Passing Scores'!$B$6</f>
        <v>6</v>
      </c>
      <c r="AW22" s="36" t="n">
        <f aca="false">'Passing Scores'!$B$7</f>
        <v>8</v>
      </c>
      <c r="AX22" s="36" t="n">
        <f aca="false">'Passing Scores'!$B$8</f>
        <v>8</v>
      </c>
    </row>
    <row r="23" customFormat="false" ht="15.75" hidden="false" customHeight="true" outlineLevel="0" collapsed="false">
      <c r="A23" s="35" t="s">
        <v>145</v>
      </c>
      <c r="B23" s="36" t="str">
        <f aca="false">AH23</f>
        <v>Send Technical Assessment</v>
      </c>
      <c r="C23" s="35" t="s">
        <v>121</v>
      </c>
      <c r="D23" s="36" t="str">
        <f aca="false">VLOOKUP(C23, 'Job Info'!A:C, 2, FALSE)</f>
        <v>Software Developer</v>
      </c>
      <c r="E23" s="37" t="str">
        <f aca="false">IF(F23 &gt;= VLOOKUP("Resume Exceed", 'Passing Scores'!A:B, 2, FALSE), "yes", "no")</f>
        <v>no</v>
      </c>
      <c r="F23" s="38" t="n">
        <v>7</v>
      </c>
      <c r="G23" s="40"/>
      <c r="H23" s="40"/>
      <c r="I23" s="45"/>
      <c r="J23" s="40"/>
      <c r="K23" s="40"/>
      <c r="L23" s="45"/>
      <c r="M23" s="40"/>
      <c r="N23" s="40"/>
      <c r="O23" s="45"/>
      <c r="P23" s="40"/>
      <c r="Q23" s="40"/>
      <c r="R23" s="45"/>
      <c r="S23" s="40"/>
      <c r="T23" s="40"/>
      <c r="U23" s="45"/>
      <c r="V23" s="40"/>
      <c r="W23" s="40"/>
      <c r="X23" s="45"/>
      <c r="Y23" s="40"/>
      <c r="Z23" s="40"/>
      <c r="AA23" s="36" t="str">
        <f aca="false">VLOOKUP(C23, 'Job Info'!A:C, 3, FALSE)</f>
        <v>SD</v>
      </c>
      <c r="AB23" s="41" t="str">
        <f aca="false">UPPER(E23)</f>
        <v>NO</v>
      </c>
      <c r="AC23" s="42" t="str">
        <f aca="false">AA23 &amp; AB23</f>
        <v>SDNO</v>
      </c>
      <c r="AD23" s="36" t="n">
        <f aca="false">COUNT(F23:Z23)</f>
        <v>1</v>
      </c>
      <c r="AE23" s="42" t="n">
        <f aca="false">HLOOKUP(AC23, 'Hiring Processes'!$A$3:$G$18, 2, FALSE)</f>
        <v>4</v>
      </c>
      <c r="AF23" s="36" t="n">
        <f aca="false">4+AD23</f>
        <v>5</v>
      </c>
      <c r="AG23" s="36" t="str">
        <f aca="true">OFFSET('Hiring Processes'!$A$1,(Candidates!AF23),(Candidates!AE23))</f>
        <v>Send Technical Assessment</v>
      </c>
      <c r="AH23" s="36" t="str">
        <f aca="true">IF(AP23=TRUE, "FAIL", OFFSET('Hiring Processes'!$A$1,(AF23),(Candidates!AE23)))</f>
        <v>Send Technical Assessment</v>
      </c>
      <c r="AI23" s="43" t="b">
        <f aca="false">IF(AND(F23&lt;'Passing Scores'!$B$1, COUNT(F23) = 1),TRUE,FALSE)</f>
        <v>0</v>
      </c>
      <c r="AJ23" s="43" t="b">
        <f aca="false">IF(AND(I23&lt;'Passing Scores'!$B$3, COUNT(I23)=1),TRUE, FALSE)</f>
        <v>0</v>
      </c>
      <c r="AK23" s="43" t="b">
        <f aca="false">IF(AND(L23&lt;'Passing Scores'!$B$4,COUNT(L23)=1),TRUE, FALSE)</f>
        <v>0</v>
      </c>
      <c r="AL23" s="43" t="b">
        <f aca="false">IF(AND(O23&lt;'Passing Scores'!$B$5,COUNT(O23)=1),TRUE, FALSE)</f>
        <v>0</v>
      </c>
      <c r="AM23" s="43" t="b">
        <f aca="false">IF(AND(R23&lt;'Passing Scores'!$B$6,COUNT(R23)=1),TRUE, FALSE)</f>
        <v>0</v>
      </c>
      <c r="AN23" s="43" t="b">
        <f aca="false">IF(AND(U23&lt;'Passing Scores'!$B$7,COUNT(U23)=1),TRUE, FALSE)</f>
        <v>0</v>
      </c>
      <c r="AO23" s="43" t="b">
        <f aca="false">IF(AND(X23&lt;'Passing Scores'!$B$8,COUNT(X23)=1),TRUE, FALSE)</f>
        <v>0</v>
      </c>
      <c r="AP23" s="43" t="b">
        <f aca="false">OR(AI23,AJ23,AK23,AL23,AM23,AN23,AO23)</f>
        <v>0</v>
      </c>
      <c r="AQ23" s="36" t="n">
        <f aca="false">'Passing Scores'!$B$1</f>
        <v>5</v>
      </c>
      <c r="AR23" s="36" t="n">
        <f aca="false">'Passing Scores'!$B$2</f>
        <v>8</v>
      </c>
      <c r="AS23" s="36" t="n">
        <f aca="false">'Passing Scores'!$B$3</f>
        <v>7</v>
      </c>
      <c r="AT23" s="36" t="n">
        <f aca="false">'Passing Scores'!$B$4</f>
        <v>6</v>
      </c>
      <c r="AU23" s="36" t="n">
        <f aca="false">'Passing Scores'!$B$5</f>
        <v>7</v>
      </c>
      <c r="AV23" s="36" t="n">
        <f aca="false">'Passing Scores'!$B$6</f>
        <v>6</v>
      </c>
      <c r="AW23" s="36" t="n">
        <f aca="false">'Passing Scores'!$B$7</f>
        <v>8</v>
      </c>
      <c r="AX23" s="36" t="n">
        <f aca="false">'Passing Scores'!$B$8</f>
        <v>8</v>
      </c>
    </row>
    <row r="24" customFormat="false" ht="15.75" hidden="false" customHeight="true" outlineLevel="0" collapsed="false">
      <c r="A24" s="35" t="s">
        <v>146</v>
      </c>
      <c r="B24" s="36" t="str">
        <f aca="false">AH24</f>
        <v>Send Personality Assessment</v>
      </c>
      <c r="C24" s="35" t="s">
        <v>131</v>
      </c>
      <c r="D24" s="36" t="str">
        <f aca="false">VLOOKUP(C24, 'Job Info'!A:C, 2, FALSE)</f>
        <v>Commercial Team</v>
      </c>
      <c r="E24" s="37" t="str">
        <f aca="false">IF(F24 &gt;= VLOOKUP("Resume Exceed", 'Passing Scores'!A:B, 2, FALSE), "yes", "no")</f>
        <v>no</v>
      </c>
      <c r="F24" s="38" t="n">
        <v>7</v>
      </c>
      <c r="G24" s="40"/>
      <c r="H24" s="40"/>
      <c r="I24" s="45"/>
      <c r="J24" s="40"/>
      <c r="K24" s="40"/>
      <c r="L24" s="45"/>
      <c r="M24" s="40"/>
      <c r="N24" s="40"/>
      <c r="O24" s="45"/>
      <c r="P24" s="40"/>
      <c r="Q24" s="40"/>
      <c r="R24" s="45"/>
      <c r="S24" s="40"/>
      <c r="T24" s="40"/>
      <c r="U24" s="45"/>
      <c r="V24" s="40"/>
      <c r="W24" s="40"/>
      <c r="X24" s="45"/>
      <c r="Y24" s="40"/>
      <c r="Z24" s="40"/>
      <c r="AA24" s="36" t="str">
        <f aca="false">VLOOKUP(C24, 'Job Info'!A:C, 3, FALSE)</f>
        <v>CT</v>
      </c>
      <c r="AB24" s="41" t="str">
        <f aca="false">UPPER(E24)</f>
        <v>NO</v>
      </c>
      <c r="AC24" s="42" t="str">
        <f aca="false">AA24 &amp; AB24</f>
        <v>CTNO</v>
      </c>
      <c r="AD24" s="36" t="n">
        <f aca="false">COUNT(F24:Z24)</f>
        <v>1</v>
      </c>
      <c r="AE24" s="42" t="n">
        <f aca="false">HLOOKUP(AC24, 'Hiring Processes'!$A$3:$G$18, 2, FALSE)</f>
        <v>2</v>
      </c>
      <c r="AF24" s="36" t="n">
        <f aca="false">4+AD24</f>
        <v>5</v>
      </c>
      <c r="AG24" s="36" t="str">
        <f aca="true">OFFSET('Hiring Processes'!$A$1,(Candidates!AF24),(Candidates!AE24))</f>
        <v>Send Personality Assessment</v>
      </c>
      <c r="AH24" s="36" t="str">
        <f aca="true">IF(AP24=TRUE, "FAIL", OFFSET('Hiring Processes'!$A$1,(AF24),(Candidates!AE24)))</f>
        <v>Send Personality Assessment</v>
      </c>
      <c r="AI24" s="43" t="b">
        <f aca="false">IF(AND(F24&lt;'Passing Scores'!$B$1, COUNT(F24) = 1),TRUE,FALSE)</f>
        <v>0</v>
      </c>
      <c r="AJ24" s="43" t="b">
        <f aca="false">IF(AND(I24&lt;'Passing Scores'!$B$3, COUNT(I24)=1),TRUE, FALSE)</f>
        <v>0</v>
      </c>
      <c r="AK24" s="43" t="b">
        <f aca="false">IF(AND(L24&lt;'Passing Scores'!$B$4,COUNT(L24)=1),TRUE, FALSE)</f>
        <v>0</v>
      </c>
      <c r="AL24" s="43" t="b">
        <f aca="false">IF(AND(O24&lt;'Passing Scores'!$B$5,COUNT(O24)=1),TRUE, FALSE)</f>
        <v>0</v>
      </c>
      <c r="AM24" s="43" t="b">
        <f aca="false">IF(AND(R24&lt;'Passing Scores'!$B$6,COUNT(R24)=1),TRUE, FALSE)</f>
        <v>0</v>
      </c>
      <c r="AN24" s="43" t="b">
        <f aca="false">IF(AND(U24&lt;'Passing Scores'!$B$7,COUNT(U24)=1),TRUE, FALSE)</f>
        <v>0</v>
      </c>
      <c r="AO24" s="43" t="b">
        <f aca="false">IF(AND(X24&lt;'Passing Scores'!$B$8,COUNT(X24)=1),TRUE, FALSE)</f>
        <v>0</v>
      </c>
      <c r="AP24" s="43" t="b">
        <f aca="false">OR(AI24,AJ24,AK24,AL24,AM24,AN24,AO24)</f>
        <v>0</v>
      </c>
      <c r="AQ24" s="36" t="n">
        <f aca="false">'Passing Scores'!$B$1</f>
        <v>5</v>
      </c>
      <c r="AR24" s="36" t="n">
        <f aca="false">'Passing Scores'!$B$2</f>
        <v>8</v>
      </c>
      <c r="AS24" s="36" t="n">
        <f aca="false">'Passing Scores'!$B$3</f>
        <v>7</v>
      </c>
      <c r="AT24" s="36" t="n">
        <f aca="false">'Passing Scores'!$B$4</f>
        <v>6</v>
      </c>
      <c r="AU24" s="36" t="n">
        <f aca="false">'Passing Scores'!$B$5</f>
        <v>7</v>
      </c>
      <c r="AV24" s="36" t="n">
        <f aca="false">'Passing Scores'!$B$6</f>
        <v>6</v>
      </c>
      <c r="AW24" s="36" t="n">
        <f aca="false">'Passing Scores'!$B$7</f>
        <v>8</v>
      </c>
      <c r="AX24" s="36" t="n">
        <f aca="false">'Passing Scores'!$B$8</f>
        <v>8</v>
      </c>
    </row>
    <row r="25" customFormat="false" ht="15.75" hidden="false" customHeight="true" outlineLevel="0" collapsed="false">
      <c r="A25" s="35" t="s">
        <v>147</v>
      </c>
      <c r="B25" s="36" t="str">
        <f aca="false">AH25</f>
        <v>Ask for Portfolio</v>
      </c>
      <c r="C25" s="35" t="s">
        <v>127</v>
      </c>
      <c r="D25" s="36" t="str">
        <f aca="false">VLOOKUP(C25, 'Job Info'!A:C, 2, FALSE)</f>
        <v>Graphic Designer</v>
      </c>
      <c r="E25" s="37" t="str">
        <f aca="false">IF(F25 &gt;= VLOOKUP("Resume Exceed", 'Passing Scores'!A:B, 2, FALSE), "yes", "no")</f>
        <v>no</v>
      </c>
      <c r="F25" s="38" t="n">
        <v>7</v>
      </c>
      <c r="G25" s="40"/>
      <c r="H25" s="40"/>
      <c r="I25" s="45"/>
      <c r="J25" s="40"/>
      <c r="K25" s="40"/>
      <c r="L25" s="45"/>
      <c r="M25" s="40"/>
      <c r="N25" s="40"/>
      <c r="O25" s="45"/>
      <c r="P25" s="40"/>
      <c r="Q25" s="40"/>
      <c r="R25" s="45"/>
      <c r="S25" s="40"/>
      <c r="T25" s="40"/>
      <c r="U25" s="45"/>
      <c r="V25" s="40"/>
      <c r="W25" s="40"/>
      <c r="X25" s="45"/>
      <c r="Y25" s="40"/>
      <c r="Z25" s="40"/>
      <c r="AA25" s="36" t="str">
        <f aca="false">VLOOKUP(C25, 'Job Info'!A:C, 3, FALSE)</f>
        <v>GD</v>
      </c>
      <c r="AB25" s="41" t="str">
        <f aca="false">UPPER(E25)</f>
        <v>NO</v>
      </c>
      <c r="AC25" s="42" t="str">
        <f aca="false">AA25 &amp; AB25</f>
        <v>GDNO</v>
      </c>
      <c r="AD25" s="36" t="n">
        <f aca="false">COUNT(F25:Z25)</f>
        <v>1</v>
      </c>
      <c r="AE25" s="42" t="n">
        <f aca="false">HLOOKUP(AC25, 'Hiring Processes'!$A$3:$G$18, 2, FALSE)</f>
        <v>6</v>
      </c>
      <c r="AF25" s="36" t="n">
        <f aca="false">4+AD25</f>
        <v>5</v>
      </c>
      <c r="AG25" s="36" t="str">
        <f aca="true">OFFSET('Hiring Processes'!$A$1,(Candidates!AF25),(Candidates!AE25))</f>
        <v>Ask for Portfolio</v>
      </c>
      <c r="AH25" s="36" t="str">
        <f aca="true">IF(AP25=TRUE, "FAIL", OFFSET('Hiring Processes'!$A$1,(AF25),(Candidates!AE25)))</f>
        <v>Ask for Portfolio</v>
      </c>
      <c r="AI25" s="43" t="b">
        <f aca="false">IF(AND(F25&lt;'Passing Scores'!$B$1, COUNT(F25) = 1),TRUE,FALSE)</f>
        <v>0</v>
      </c>
      <c r="AJ25" s="43" t="b">
        <f aca="false">IF(AND(I25&lt;'Passing Scores'!$B$3, COUNT(I25)=1),TRUE, FALSE)</f>
        <v>0</v>
      </c>
      <c r="AK25" s="43" t="b">
        <f aca="false">IF(AND(L25&lt;'Passing Scores'!$B$4,COUNT(L25)=1),TRUE, FALSE)</f>
        <v>0</v>
      </c>
      <c r="AL25" s="43" t="b">
        <f aca="false">IF(AND(O25&lt;'Passing Scores'!$B$5,COUNT(O25)=1),TRUE, FALSE)</f>
        <v>0</v>
      </c>
      <c r="AM25" s="43" t="b">
        <f aca="false">IF(AND(R25&lt;'Passing Scores'!$B$6,COUNT(R25)=1),TRUE, FALSE)</f>
        <v>0</v>
      </c>
      <c r="AN25" s="43" t="b">
        <f aca="false">IF(AND(U25&lt;'Passing Scores'!$B$7,COUNT(U25)=1),TRUE, FALSE)</f>
        <v>0</v>
      </c>
      <c r="AO25" s="43" t="b">
        <f aca="false">IF(AND(X25&lt;'Passing Scores'!$B$8,COUNT(X25)=1),TRUE, FALSE)</f>
        <v>0</v>
      </c>
      <c r="AP25" s="43" t="b">
        <f aca="false">OR(AI25,AJ25,AK25,AL25,AM25,AN25,AO25)</f>
        <v>0</v>
      </c>
      <c r="AQ25" s="36" t="n">
        <f aca="false">'Passing Scores'!$B$1</f>
        <v>5</v>
      </c>
      <c r="AR25" s="36" t="n">
        <f aca="false">'Passing Scores'!$B$2</f>
        <v>8</v>
      </c>
      <c r="AS25" s="36" t="n">
        <f aca="false">'Passing Scores'!$B$3</f>
        <v>7</v>
      </c>
      <c r="AT25" s="36" t="n">
        <f aca="false">'Passing Scores'!$B$4</f>
        <v>6</v>
      </c>
      <c r="AU25" s="36" t="n">
        <f aca="false">'Passing Scores'!$B$5</f>
        <v>7</v>
      </c>
      <c r="AV25" s="36" t="n">
        <f aca="false">'Passing Scores'!$B$6</f>
        <v>6</v>
      </c>
      <c r="AW25" s="36" t="n">
        <f aca="false">'Passing Scores'!$B$7</f>
        <v>8</v>
      </c>
      <c r="AX25" s="36" t="n">
        <f aca="false">'Passing Scores'!$B$8</f>
        <v>8</v>
      </c>
    </row>
    <row r="26" customFormat="false" ht="15.75" hidden="false" customHeight="true" outlineLevel="0" collapsed="false">
      <c r="A26" s="35" t="s">
        <v>148</v>
      </c>
      <c r="B26" s="36" t="str">
        <f aca="false">AH26</f>
        <v>Ask for Portfolio</v>
      </c>
      <c r="C26" s="35" t="s">
        <v>127</v>
      </c>
      <c r="D26" s="36" t="str">
        <f aca="false">VLOOKUP(C26, 'Job Info'!A:C, 2, FALSE)</f>
        <v>Graphic Designer</v>
      </c>
      <c r="E26" s="37" t="str">
        <f aca="false">IF(F26 &gt;= VLOOKUP("Resume Exceed", 'Passing Scores'!A:B, 2, FALSE), "yes", "no")</f>
        <v>no</v>
      </c>
      <c r="F26" s="38" t="n">
        <v>7</v>
      </c>
      <c r="G26" s="40"/>
      <c r="H26" s="40"/>
      <c r="I26" s="45"/>
      <c r="J26" s="40"/>
      <c r="K26" s="40"/>
      <c r="L26" s="45"/>
      <c r="M26" s="40"/>
      <c r="N26" s="40"/>
      <c r="O26" s="45"/>
      <c r="P26" s="40"/>
      <c r="Q26" s="40"/>
      <c r="R26" s="45"/>
      <c r="S26" s="40"/>
      <c r="T26" s="40"/>
      <c r="U26" s="45"/>
      <c r="V26" s="40"/>
      <c r="W26" s="40"/>
      <c r="X26" s="45"/>
      <c r="Y26" s="40"/>
      <c r="Z26" s="40"/>
      <c r="AA26" s="36" t="str">
        <f aca="false">VLOOKUP(C26, 'Job Info'!A:C, 3, FALSE)</f>
        <v>GD</v>
      </c>
      <c r="AB26" s="41" t="str">
        <f aca="false">UPPER(E26)</f>
        <v>NO</v>
      </c>
      <c r="AC26" s="42" t="str">
        <f aca="false">AA26 &amp; AB26</f>
        <v>GDNO</v>
      </c>
      <c r="AD26" s="36" t="n">
        <f aca="false">COUNT(F26:Z26)</f>
        <v>1</v>
      </c>
      <c r="AE26" s="42" t="n">
        <f aca="false">HLOOKUP(AC26, 'Hiring Processes'!$A$3:$G$18, 2, FALSE)</f>
        <v>6</v>
      </c>
      <c r="AF26" s="36" t="n">
        <f aca="false">4+AD26</f>
        <v>5</v>
      </c>
      <c r="AG26" s="36" t="str">
        <f aca="true">OFFSET('Hiring Processes'!$A$1,(Candidates!AF26),(Candidates!AE26))</f>
        <v>Ask for Portfolio</v>
      </c>
      <c r="AH26" s="36" t="str">
        <f aca="true">IF(AP26=TRUE, "FAIL", OFFSET('Hiring Processes'!$A$1,(AF26),(Candidates!AE26)))</f>
        <v>Ask for Portfolio</v>
      </c>
      <c r="AI26" s="43" t="b">
        <f aca="false">IF(AND(F26&lt;'Passing Scores'!$B$1, COUNT(F26) = 1),TRUE,FALSE)</f>
        <v>0</v>
      </c>
      <c r="AJ26" s="43" t="b">
        <f aca="false">IF(AND(I26&lt;'Passing Scores'!$B$3, COUNT(I26)=1),TRUE, FALSE)</f>
        <v>0</v>
      </c>
      <c r="AK26" s="43" t="b">
        <f aca="false">IF(AND(L26&lt;'Passing Scores'!$B$4,COUNT(L26)=1),TRUE, FALSE)</f>
        <v>0</v>
      </c>
      <c r="AL26" s="43" t="b">
        <f aca="false">IF(AND(O26&lt;'Passing Scores'!$B$5,COUNT(O26)=1),TRUE, FALSE)</f>
        <v>0</v>
      </c>
      <c r="AM26" s="43" t="b">
        <f aca="false">IF(AND(R26&lt;'Passing Scores'!$B$6,COUNT(R26)=1),TRUE, FALSE)</f>
        <v>0</v>
      </c>
      <c r="AN26" s="43" t="b">
        <f aca="false">IF(AND(U26&lt;'Passing Scores'!$B$7,COUNT(U26)=1),TRUE, FALSE)</f>
        <v>0</v>
      </c>
      <c r="AO26" s="43" t="b">
        <f aca="false">IF(AND(X26&lt;'Passing Scores'!$B$8,COUNT(X26)=1),TRUE, FALSE)</f>
        <v>0</v>
      </c>
      <c r="AP26" s="43" t="b">
        <f aca="false">OR(AI26,AJ26,AK26,AL26,AM26,AN26,AO26)</f>
        <v>0</v>
      </c>
      <c r="AQ26" s="36" t="n">
        <f aca="false">'Passing Scores'!$B$1</f>
        <v>5</v>
      </c>
      <c r="AR26" s="36" t="n">
        <f aca="false">'Passing Scores'!$B$2</f>
        <v>8</v>
      </c>
      <c r="AS26" s="36" t="n">
        <f aca="false">'Passing Scores'!$B$3</f>
        <v>7</v>
      </c>
      <c r="AT26" s="36" t="n">
        <f aca="false">'Passing Scores'!$B$4</f>
        <v>6</v>
      </c>
      <c r="AU26" s="36" t="n">
        <f aca="false">'Passing Scores'!$B$5</f>
        <v>7</v>
      </c>
      <c r="AV26" s="36" t="n">
        <f aca="false">'Passing Scores'!$B$6</f>
        <v>6</v>
      </c>
      <c r="AW26" s="36" t="n">
        <f aca="false">'Passing Scores'!$B$7</f>
        <v>8</v>
      </c>
      <c r="AX26" s="36" t="n">
        <f aca="false">'Passing Scores'!$B$8</f>
        <v>8</v>
      </c>
    </row>
    <row r="27" customFormat="false" ht="15.75" hidden="false" customHeight="true" outlineLevel="0" collapsed="false">
      <c r="A27" s="35" t="s">
        <v>149</v>
      </c>
      <c r="B27" s="36" t="str">
        <f aca="false">AH27</f>
        <v>Schedule Initial Meeting</v>
      </c>
      <c r="C27" s="35" t="s">
        <v>117</v>
      </c>
      <c r="D27" s="36" t="str">
        <f aca="false">VLOOKUP(C27, 'Job Info'!A:C, 2, FALSE)</f>
        <v>Software Developer</v>
      </c>
      <c r="E27" s="37" t="str">
        <f aca="false">IF(F27 &gt;= VLOOKUP("Resume Exceed", 'Passing Scores'!A:B, 2, FALSE), "yes", "no")</f>
        <v>yes</v>
      </c>
      <c r="F27" s="38" t="n">
        <v>9</v>
      </c>
      <c r="G27" s="40"/>
      <c r="H27" s="40"/>
      <c r="I27" s="45"/>
      <c r="J27" s="40"/>
      <c r="K27" s="40"/>
      <c r="L27" s="45"/>
      <c r="M27" s="40"/>
      <c r="N27" s="40"/>
      <c r="O27" s="45"/>
      <c r="P27" s="40"/>
      <c r="Q27" s="40"/>
      <c r="R27" s="45"/>
      <c r="S27" s="40"/>
      <c r="T27" s="40"/>
      <c r="U27" s="45"/>
      <c r="V27" s="40"/>
      <c r="W27" s="40"/>
      <c r="X27" s="45"/>
      <c r="Y27" s="40"/>
      <c r="Z27" s="40"/>
      <c r="AA27" s="36" t="str">
        <f aca="false">VLOOKUP(C27, 'Job Info'!A:C, 3, FALSE)</f>
        <v>SD</v>
      </c>
      <c r="AB27" s="41" t="str">
        <f aca="false">UPPER(E27)</f>
        <v>YES</v>
      </c>
      <c r="AC27" s="42" t="str">
        <f aca="false">AA27 &amp; AB27</f>
        <v>SDYES</v>
      </c>
      <c r="AD27" s="36" t="n">
        <f aca="false">COUNT(F27:Z27)</f>
        <v>1</v>
      </c>
      <c r="AE27" s="42" t="n">
        <f aca="false">HLOOKUP(AC27, 'Hiring Processes'!$A$3:$G$18, 2, FALSE)</f>
        <v>3</v>
      </c>
      <c r="AF27" s="36" t="n">
        <f aca="false">4+AD27</f>
        <v>5</v>
      </c>
      <c r="AG27" s="36" t="str">
        <f aca="true">OFFSET('Hiring Processes'!$A$1,(Candidates!AF27),(Candidates!AE27))</f>
        <v>Schedule Initial Meeting</v>
      </c>
      <c r="AH27" s="36" t="str">
        <f aca="true">IF(AP27=TRUE, "FAIL", OFFSET('Hiring Processes'!$A$1,(AF27),(Candidates!AE27)))</f>
        <v>Schedule Initial Meeting</v>
      </c>
      <c r="AI27" s="43" t="b">
        <f aca="false">IF(AND(F27&lt;'Passing Scores'!$B$1, COUNT(F27) = 1),TRUE,FALSE)</f>
        <v>0</v>
      </c>
      <c r="AJ27" s="43" t="b">
        <f aca="false">IF(AND(I27&lt;'Passing Scores'!$B$3, COUNT(I27)=1),TRUE, FALSE)</f>
        <v>0</v>
      </c>
      <c r="AK27" s="43" t="b">
        <f aca="false">IF(AND(L27&lt;'Passing Scores'!$B$4,COUNT(L27)=1),TRUE, FALSE)</f>
        <v>0</v>
      </c>
      <c r="AL27" s="43" t="b">
        <f aca="false">IF(AND(O27&lt;'Passing Scores'!$B$5,COUNT(O27)=1),TRUE, FALSE)</f>
        <v>0</v>
      </c>
      <c r="AM27" s="43" t="b">
        <f aca="false">IF(AND(R27&lt;'Passing Scores'!$B$6,COUNT(R27)=1),TRUE, FALSE)</f>
        <v>0</v>
      </c>
      <c r="AN27" s="43" t="b">
        <f aca="false">IF(AND(U27&lt;'Passing Scores'!$B$7,COUNT(U27)=1),TRUE, FALSE)</f>
        <v>0</v>
      </c>
      <c r="AO27" s="43" t="b">
        <f aca="false">IF(AND(X27&lt;'Passing Scores'!$B$8,COUNT(X27)=1),TRUE, FALSE)</f>
        <v>0</v>
      </c>
      <c r="AP27" s="43" t="b">
        <f aca="false">OR(AI27,AJ27,AK27,AL27,AM27,AN27,AO27)</f>
        <v>0</v>
      </c>
      <c r="AQ27" s="36" t="n">
        <f aca="false">'Passing Scores'!$B$1</f>
        <v>5</v>
      </c>
      <c r="AR27" s="36" t="n">
        <f aca="false">'Passing Scores'!$B$2</f>
        <v>8</v>
      </c>
      <c r="AS27" s="36" t="n">
        <f aca="false">'Passing Scores'!$B$3</f>
        <v>7</v>
      </c>
      <c r="AT27" s="36" t="n">
        <f aca="false">'Passing Scores'!$B$4</f>
        <v>6</v>
      </c>
      <c r="AU27" s="36" t="n">
        <f aca="false">'Passing Scores'!$B$5</f>
        <v>7</v>
      </c>
      <c r="AV27" s="36" t="n">
        <f aca="false">'Passing Scores'!$B$6</f>
        <v>6</v>
      </c>
      <c r="AW27" s="36" t="n">
        <f aca="false">'Passing Scores'!$B$7</f>
        <v>8</v>
      </c>
      <c r="AX27" s="36" t="n">
        <f aca="false">'Passing Scores'!$B$8</f>
        <v>8</v>
      </c>
    </row>
    <row r="28" customFormat="false" ht="15.75" hidden="false" customHeight="true" outlineLevel="0" collapsed="false">
      <c r="A28" s="35" t="s">
        <v>150</v>
      </c>
      <c r="B28" s="36" t="str">
        <f aca="false">AH28</f>
        <v>Schedule Initial Meeting</v>
      </c>
      <c r="C28" s="35" t="s">
        <v>131</v>
      </c>
      <c r="D28" s="36" t="str">
        <f aca="false">VLOOKUP(C28, 'Job Info'!A:C, 2, FALSE)</f>
        <v>Commercial Team</v>
      </c>
      <c r="E28" s="37" t="str">
        <f aca="false">IF(F28 &gt;= VLOOKUP("Resume Exceed", 'Passing Scores'!A:B, 2, FALSE), "yes", "no")</f>
        <v>yes</v>
      </c>
      <c r="F28" s="38" t="n">
        <v>9</v>
      </c>
      <c r="G28" s="40"/>
      <c r="H28" s="40"/>
      <c r="I28" s="45"/>
      <c r="J28" s="40"/>
      <c r="K28" s="40"/>
      <c r="L28" s="45"/>
      <c r="M28" s="40"/>
      <c r="N28" s="40"/>
      <c r="O28" s="45"/>
      <c r="P28" s="40"/>
      <c r="Q28" s="40"/>
      <c r="R28" s="45"/>
      <c r="S28" s="40"/>
      <c r="T28" s="40"/>
      <c r="U28" s="45"/>
      <c r="V28" s="40"/>
      <c r="W28" s="40"/>
      <c r="X28" s="45"/>
      <c r="Y28" s="40"/>
      <c r="Z28" s="40"/>
      <c r="AA28" s="36" t="str">
        <f aca="false">VLOOKUP(C28, 'Job Info'!A:C, 3, FALSE)</f>
        <v>CT</v>
      </c>
      <c r="AB28" s="41" t="str">
        <f aca="false">UPPER(E28)</f>
        <v>YES</v>
      </c>
      <c r="AC28" s="42" t="str">
        <f aca="false">AA28 &amp; AB28</f>
        <v>CTYES</v>
      </c>
      <c r="AD28" s="36" t="n">
        <f aca="false">COUNT(F28:Z28)</f>
        <v>1</v>
      </c>
      <c r="AE28" s="42" t="n">
        <f aca="false">HLOOKUP(AC28, 'Hiring Processes'!$A$3:$G$18, 2, FALSE)</f>
        <v>1</v>
      </c>
      <c r="AF28" s="36" t="n">
        <f aca="false">4+AD28</f>
        <v>5</v>
      </c>
      <c r="AG28" s="36" t="str">
        <f aca="true">OFFSET('Hiring Processes'!$A$1,(Candidates!AF28),(Candidates!AE28))</f>
        <v>Schedule Initial Meeting</v>
      </c>
      <c r="AH28" s="36" t="str">
        <f aca="true">IF(AP28=TRUE, "FAIL", OFFSET('Hiring Processes'!$A$1,(AF28),(Candidates!AE28)))</f>
        <v>Schedule Initial Meeting</v>
      </c>
      <c r="AI28" s="43" t="b">
        <f aca="false">IF(AND(F28&lt;'Passing Scores'!$B$1, COUNT(F28) = 1),TRUE,FALSE)</f>
        <v>0</v>
      </c>
      <c r="AJ28" s="43" t="b">
        <f aca="false">IF(AND(I28&lt;'Passing Scores'!$B$3, COUNT(I28)=1),TRUE, FALSE)</f>
        <v>0</v>
      </c>
      <c r="AK28" s="43" t="b">
        <f aca="false">IF(AND(L28&lt;'Passing Scores'!$B$4,COUNT(L28)=1),TRUE, FALSE)</f>
        <v>0</v>
      </c>
      <c r="AL28" s="43" t="b">
        <f aca="false">IF(AND(O28&lt;'Passing Scores'!$B$5,COUNT(O28)=1),TRUE, FALSE)</f>
        <v>0</v>
      </c>
      <c r="AM28" s="43" t="b">
        <f aca="false">IF(AND(R28&lt;'Passing Scores'!$B$6,COUNT(R28)=1),TRUE, FALSE)</f>
        <v>0</v>
      </c>
      <c r="AN28" s="43" t="b">
        <f aca="false">IF(AND(U28&lt;'Passing Scores'!$B$7,COUNT(U28)=1),TRUE, FALSE)</f>
        <v>0</v>
      </c>
      <c r="AO28" s="43" t="b">
        <f aca="false">IF(AND(X28&lt;'Passing Scores'!$B$8,COUNT(X28)=1),TRUE, FALSE)</f>
        <v>0</v>
      </c>
      <c r="AP28" s="43" t="b">
        <f aca="false">OR(AI28,AJ28,AK28,AL28,AM28,AN28,AO28)</f>
        <v>0</v>
      </c>
      <c r="AQ28" s="36" t="n">
        <f aca="false">'Passing Scores'!$B$1</f>
        <v>5</v>
      </c>
      <c r="AR28" s="36" t="n">
        <f aca="false">'Passing Scores'!$B$2</f>
        <v>8</v>
      </c>
      <c r="AS28" s="36" t="n">
        <f aca="false">'Passing Scores'!$B$3</f>
        <v>7</v>
      </c>
      <c r="AT28" s="36" t="n">
        <f aca="false">'Passing Scores'!$B$4</f>
        <v>6</v>
      </c>
      <c r="AU28" s="36" t="n">
        <f aca="false">'Passing Scores'!$B$5</f>
        <v>7</v>
      </c>
      <c r="AV28" s="36" t="n">
        <f aca="false">'Passing Scores'!$B$6</f>
        <v>6</v>
      </c>
      <c r="AW28" s="36" t="n">
        <f aca="false">'Passing Scores'!$B$7</f>
        <v>8</v>
      </c>
      <c r="AX28" s="36" t="n">
        <f aca="false">'Passing Scores'!$B$8</f>
        <v>8</v>
      </c>
    </row>
    <row r="29" customFormat="false" ht="15.75" hidden="false" customHeight="true" outlineLevel="0" collapsed="false">
      <c r="A29" s="35" t="s">
        <v>151</v>
      </c>
      <c r="B29" s="36" t="str">
        <f aca="false">AH29</f>
        <v>Schedule Initial Meeting</v>
      </c>
      <c r="C29" s="35" t="s">
        <v>121</v>
      </c>
      <c r="D29" s="36" t="str">
        <f aca="false">VLOOKUP(C29, 'Job Info'!A:C, 2, FALSE)</f>
        <v>Software Developer</v>
      </c>
      <c r="E29" s="37" t="str">
        <f aca="false">IF(F29 &gt;= VLOOKUP("Resume Exceed", 'Passing Scores'!A:B, 2, FALSE), "yes", "no")</f>
        <v>yes</v>
      </c>
      <c r="F29" s="38" t="n">
        <v>9</v>
      </c>
      <c r="G29" s="40"/>
      <c r="H29" s="40"/>
      <c r="I29" s="45"/>
      <c r="J29" s="40"/>
      <c r="K29" s="40"/>
      <c r="L29" s="45"/>
      <c r="M29" s="40"/>
      <c r="N29" s="40"/>
      <c r="O29" s="45"/>
      <c r="P29" s="40"/>
      <c r="Q29" s="40"/>
      <c r="R29" s="45"/>
      <c r="S29" s="40"/>
      <c r="T29" s="40"/>
      <c r="U29" s="45"/>
      <c r="V29" s="40"/>
      <c r="W29" s="40"/>
      <c r="X29" s="45"/>
      <c r="Y29" s="40"/>
      <c r="Z29" s="40"/>
      <c r="AA29" s="36" t="str">
        <f aca="false">VLOOKUP(C29, 'Job Info'!A:C, 3, FALSE)</f>
        <v>SD</v>
      </c>
      <c r="AB29" s="41" t="str">
        <f aca="false">UPPER(E29)</f>
        <v>YES</v>
      </c>
      <c r="AC29" s="42" t="str">
        <f aca="false">AA29 &amp; AB29</f>
        <v>SDYES</v>
      </c>
      <c r="AD29" s="36" t="n">
        <f aca="false">COUNT(F29:Z29)</f>
        <v>1</v>
      </c>
      <c r="AE29" s="42" t="n">
        <f aca="false">HLOOKUP(AC29, 'Hiring Processes'!$A$3:$G$18, 2, FALSE)</f>
        <v>3</v>
      </c>
      <c r="AF29" s="36" t="n">
        <f aca="false">4+AD29</f>
        <v>5</v>
      </c>
      <c r="AG29" s="36" t="str">
        <f aca="true">OFFSET('Hiring Processes'!$A$1,(Candidates!AF29),(Candidates!AE29))</f>
        <v>Schedule Initial Meeting</v>
      </c>
      <c r="AH29" s="36" t="str">
        <f aca="true">IF(AP29=TRUE, "FAIL", OFFSET('Hiring Processes'!$A$1,(AF29),(Candidates!AE29)))</f>
        <v>Schedule Initial Meeting</v>
      </c>
      <c r="AI29" s="43" t="b">
        <f aca="false">IF(AND(F29&lt;'Passing Scores'!$B$1, COUNT(F29) = 1),TRUE,FALSE)</f>
        <v>0</v>
      </c>
      <c r="AJ29" s="43" t="b">
        <f aca="false">IF(AND(I29&lt;'Passing Scores'!$B$3, COUNT(I29)=1),TRUE, FALSE)</f>
        <v>0</v>
      </c>
      <c r="AK29" s="43" t="b">
        <f aca="false">IF(AND(L29&lt;'Passing Scores'!$B$4,COUNT(L29)=1),TRUE, FALSE)</f>
        <v>0</v>
      </c>
      <c r="AL29" s="43" t="b">
        <f aca="false">IF(AND(O29&lt;'Passing Scores'!$B$5,COUNT(O29)=1),TRUE, FALSE)</f>
        <v>0</v>
      </c>
      <c r="AM29" s="43" t="b">
        <f aca="false">IF(AND(R29&lt;'Passing Scores'!$B$6,COUNT(R29)=1),TRUE, FALSE)</f>
        <v>0</v>
      </c>
      <c r="AN29" s="43" t="b">
        <f aca="false">IF(AND(U29&lt;'Passing Scores'!$B$7,COUNT(U29)=1),TRUE, FALSE)</f>
        <v>0</v>
      </c>
      <c r="AO29" s="43" t="b">
        <f aca="false">IF(AND(X29&lt;'Passing Scores'!$B$8,COUNT(X29)=1),TRUE, FALSE)</f>
        <v>0</v>
      </c>
      <c r="AP29" s="43" t="b">
        <f aca="false">OR(AI29,AJ29,AK29,AL29,AM29,AN29,AO29)</f>
        <v>0</v>
      </c>
      <c r="AQ29" s="36" t="n">
        <f aca="false">'Passing Scores'!$B$1</f>
        <v>5</v>
      </c>
      <c r="AR29" s="36" t="n">
        <f aca="false">'Passing Scores'!$B$2</f>
        <v>8</v>
      </c>
      <c r="AS29" s="36" t="n">
        <f aca="false">'Passing Scores'!$B$3</f>
        <v>7</v>
      </c>
      <c r="AT29" s="36" t="n">
        <f aca="false">'Passing Scores'!$B$4</f>
        <v>6</v>
      </c>
      <c r="AU29" s="36" t="n">
        <f aca="false">'Passing Scores'!$B$5</f>
        <v>7</v>
      </c>
      <c r="AV29" s="36" t="n">
        <f aca="false">'Passing Scores'!$B$6</f>
        <v>6</v>
      </c>
      <c r="AW29" s="36" t="n">
        <f aca="false">'Passing Scores'!$B$7</f>
        <v>8</v>
      </c>
      <c r="AX29" s="36" t="n">
        <f aca="false">'Passing Scores'!$B$8</f>
        <v>8</v>
      </c>
    </row>
    <row r="30" customFormat="false" ht="15.75" hidden="false" customHeight="true" outlineLevel="0" collapsed="false">
      <c r="A30" s="35" t="s">
        <v>152</v>
      </c>
      <c r="B30" s="36" t="str">
        <f aca="false">AH30</f>
        <v>Schedule Initial Meeting</v>
      </c>
      <c r="C30" s="35" t="s">
        <v>119</v>
      </c>
      <c r="D30" s="36" t="str">
        <f aca="false">VLOOKUP(C30, 'Job Info'!A:C, 2, FALSE)</f>
        <v>Software Developer</v>
      </c>
      <c r="E30" s="37" t="str">
        <f aca="false">IF(F30 &gt;= VLOOKUP("Resume Exceed", 'Passing Scores'!A:B, 2, FALSE), "yes", "no")</f>
        <v>yes</v>
      </c>
      <c r="F30" s="38" t="n">
        <v>9</v>
      </c>
      <c r="G30" s="40"/>
      <c r="H30" s="40"/>
      <c r="I30" s="45"/>
      <c r="J30" s="40"/>
      <c r="K30" s="40"/>
      <c r="L30" s="45"/>
      <c r="M30" s="40"/>
      <c r="N30" s="40"/>
      <c r="O30" s="45"/>
      <c r="P30" s="40"/>
      <c r="Q30" s="40"/>
      <c r="R30" s="45"/>
      <c r="S30" s="40"/>
      <c r="T30" s="40"/>
      <c r="U30" s="45"/>
      <c r="V30" s="40"/>
      <c r="W30" s="40"/>
      <c r="X30" s="45"/>
      <c r="Y30" s="40"/>
      <c r="Z30" s="40"/>
      <c r="AA30" s="36" t="str">
        <f aca="false">VLOOKUP(C30, 'Job Info'!A:C, 3, FALSE)</f>
        <v>SD</v>
      </c>
      <c r="AB30" s="41" t="str">
        <f aca="false">UPPER(E30)</f>
        <v>YES</v>
      </c>
      <c r="AC30" s="42" t="str">
        <f aca="false">AA30 &amp; AB30</f>
        <v>SDYES</v>
      </c>
      <c r="AD30" s="36" t="n">
        <f aca="false">COUNT(F30:Z30)</f>
        <v>1</v>
      </c>
      <c r="AE30" s="42" t="n">
        <f aca="false">HLOOKUP(AC30, 'Hiring Processes'!$A$3:$G$18, 2, FALSE)</f>
        <v>3</v>
      </c>
      <c r="AF30" s="36" t="n">
        <f aca="false">4+AD30</f>
        <v>5</v>
      </c>
      <c r="AG30" s="36" t="str">
        <f aca="true">OFFSET('Hiring Processes'!$A$1,(Candidates!AF30),(Candidates!AE30))</f>
        <v>Schedule Initial Meeting</v>
      </c>
      <c r="AH30" s="36" t="str">
        <f aca="true">IF(AP30=TRUE, "FAIL", OFFSET('Hiring Processes'!$A$1,(AF30),(Candidates!AE30)))</f>
        <v>Schedule Initial Meeting</v>
      </c>
      <c r="AI30" s="43" t="b">
        <f aca="false">IF(AND(F30&lt;'Passing Scores'!$B$1, COUNT(F30) = 1),TRUE,FALSE)</f>
        <v>0</v>
      </c>
      <c r="AJ30" s="43" t="b">
        <f aca="false">IF(AND(I30&lt;'Passing Scores'!$B$3, COUNT(I30)=1),TRUE, FALSE)</f>
        <v>0</v>
      </c>
      <c r="AK30" s="43" t="b">
        <f aca="false">IF(AND(L30&lt;'Passing Scores'!$B$4,COUNT(L30)=1),TRUE, FALSE)</f>
        <v>0</v>
      </c>
      <c r="AL30" s="43" t="b">
        <f aca="false">IF(AND(O30&lt;'Passing Scores'!$B$5,COUNT(O30)=1),TRUE, FALSE)</f>
        <v>0</v>
      </c>
      <c r="AM30" s="43" t="b">
        <f aca="false">IF(AND(R30&lt;'Passing Scores'!$B$6,COUNT(R30)=1),TRUE, FALSE)</f>
        <v>0</v>
      </c>
      <c r="AN30" s="43" t="b">
        <f aca="false">IF(AND(U30&lt;'Passing Scores'!$B$7,COUNT(U30)=1),TRUE, FALSE)</f>
        <v>0</v>
      </c>
      <c r="AO30" s="43" t="b">
        <f aca="false">IF(AND(X30&lt;'Passing Scores'!$B$8,COUNT(X30)=1),TRUE, FALSE)</f>
        <v>0</v>
      </c>
      <c r="AP30" s="43" t="b">
        <f aca="false">OR(AI30,AJ30,AK30,AL30,AM30,AN30,AO30)</f>
        <v>0</v>
      </c>
      <c r="AQ30" s="36" t="n">
        <f aca="false">'Passing Scores'!$B$1</f>
        <v>5</v>
      </c>
      <c r="AR30" s="36" t="n">
        <f aca="false">'Passing Scores'!$B$2</f>
        <v>8</v>
      </c>
      <c r="AS30" s="36" t="n">
        <f aca="false">'Passing Scores'!$B$3</f>
        <v>7</v>
      </c>
      <c r="AT30" s="36" t="n">
        <f aca="false">'Passing Scores'!$B$4</f>
        <v>6</v>
      </c>
      <c r="AU30" s="36" t="n">
        <f aca="false">'Passing Scores'!$B$5</f>
        <v>7</v>
      </c>
      <c r="AV30" s="36" t="n">
        <f aca="false">'Passing Scores'!$B$6</f>
        <v>6</v>
      </c>
      <c r="AW30" s="36" t="n">
        <f aca="false">'Passing Scores'!$B$7</f>
        <v>8</v>
      </c>
      <c r="AX30" s="36" t="n">
        <f aca="false">'Passing Scores'!$B$8</f>
        <v>8</v>
      </c>
    </row>
    <row r="31" customFormat="false" ht="15" hidden="false" customHeight="false" outlineLevel="0" collapsed="false">
      <c r="F31" s="46"/>
      <c r="G31" s="47"/>
      <c r="H31" s="47"/>
      <c r="I31" s="46"/>
      <c r="J31" s="47"/>
      <c r="K31" s="47"/>
      <c r="L31" s="46"/>
      <c r="M31" s="47"/>
      <c r="N31" s="47"/>
      <c r="O31" s="46"/>
      <c r="P31" s="47"/>
      <c r="Q31" s="47"/>
      <c r="R31" s="46"/>
      <c r="S31" s="47"/>
      <c r="T31" s="47"/>
      <c r="U31" s="46"/>
      <c r="V31" s="47"/>
      <c r="W31" s="47"/>
      <c r="X31" s="46"/>
      <c r="Y31" s="47"/>
      <c r="Z31" s="47"/>
      <c r="AA31" s="48"/>
    </row>
    <row r="32" customFormat="false" ht="15" hidden="false" customHeight="false" outlineLevel="0" collapsed="false">
      <c r="G32" s="49"/>
      <c r="H32" s="49"/>
      <c r="J32" s="49"/>
      <c r="K32" s="49"/>
      <c r="M32" s="49"/>
      <c r="N32" s="49"/>
      <c r="P32" s="49"/>
      <c r="Q32" s="49"/>
      <c r="S32" s="49"/>
      <c r="T32" s="49"/>
      <c r="V32" s="49"/>
      <c r="W32" s="49"/>
      <c r="Y32" s="49"/>
      <c r="Z32" s="49"/>
    </row>
    <row r="33" customFormat="false" ht="15" hidden="false" customHeight="false" outlineLevel="0" collapsed="false">
      <c r="G33" s="49"/>
      <c r="H33" s="49"/>
      <c r="J33" s="49"/>
      <c r="K33" s="49"/>
      <c r="M33" s="49"/>
      <c r="N33" s="49"/>
      <c r="P33" s="49"/>
      <c r="Q33" s="49"/>
      <c r="S33" s="49"/>
      <c r="T33" s="49"/>
      <c r="V33" s="49"/>
      <c r="W33" s="49"/>
      <c r="Y33" s="49"/>
      <c r="Z33" s="49"/>
    </row>
    <row r="34" customFormat="false" ht="15" hidden="false" customHeight="false" outlineLevel="0" collapsed="false">
      <c r="G34" s="49"/>
      <c r="H34" s="49"/>
      <c r="J34" s="49"/>
      <c r="K34" s="49"/>
      <c r="M34" s="49"/>
      <c r="N34" s="49"/>
      <c r="P34" s="49"/>
      <c r="Q34" s="49"/>
      <c r="S34" s="49"/>
      <c r="T34" s="49"/>
      <c r="V34" s="49"/>
      <c r="W34" s="49"/>
      <c r="Y34" s="49"/>
      <c r="Z34" s="49"/>
    </row>
    <row r="35" customFormat="false" ht="15" hidden="false" customHeight="false" outlineLevel="0" collapsed="false">
      <c r="G35" s="49"/>
      <c r="H35" s="49"/>
      <c r="J35" s="49"/>
      <c r="K35" s="49"/>
      <c r="M35" s="49"/>
      <c r="N35" s="49"/>
      <c r="P35" s="49"/>
      <c r="Q35" s="49"/>
      <c r="S35" s="49"/>
      <c r="T35" s="49"/>
      <c r="V35" s="49"/>
      <c r="W35" s="49"/>
      <c r="Y35" s="49"/>
      <c r="Z35" s="49"/>
    </row>
    <row r="36" customFormat="false" ht="15" hidden="false" customHeight="false" outlineLevel="0" collapsed="false">
      <c r="G36" s="49"/>
      <c r="H36" s="49"/>
      <c r="J36" s="49"/>
      <c r="K36" s="49"/>
      <c r="M36" s="49"/>
      <c r="N36" s="49"/>
      <c r="P36" s="49"/>
      <c r="Q36" s="49"/>
      <c r="S36" s="49"/>
      <c r="T36" s="49"/>
      <c r="V36" s="49"/>
      <c r="W36" s="49"/>
      <c r="Y36" s="49"/>
      <c r="Z36" s="49"/>
    </row>
    <row r="37" customFormat="false" ht="15" hidden="false" customHeight="false" outlineLevel="0" collapsed="false">
      <c r="G37" s="49"/>
      <c r="H37" s="49"/>
      <c r="J37" s="49"/>
      <c r="K37" s="49"/>
      <c r="M37" s="49"/>
      <c r="N37" s="49"/>
      <c r="P37" s="49"/>
      <c r="Q37" s="49"/>
      <c r="S37" s="49"/>
      <c r="T37" s="49"/>
      <c r="V37" s="49"/>
      <c r="W37" s="49"/>
      <c r="Y37" s="49"/>
      <c r="Z37" s="49"/>
    </row>
    <row r="38" customFormat="false" ht="15" hidden="false" customHeight="false" outlineLevel="0" collapsed="false">
      <c r="G38" s="49"/>
      <c r="H38" s="49"/>
      <c r="J38" s="49"/>
      <c r="K38" s="49"/>
      <c r="M38" s="49"/>
      <c r="N38" s="49"/>
      <c r="P38" s="49"/>
      <c r="Q38" s="49"/>
      <c r="S38" s="49"/>
      <c r="T38" s="49"/>
      <c r="V38" s="49"/>
      <c r="W38" s="49"/>
      <c r="Y38" s="49"/>
      <c r="Z38" s="49"/>
    </row>
    <row r="39" customFormat="false" ht="15" hidden="false" customHeight="false" outlineLevel="0" collapsed="false">
      <c r="G39" s="49"/>
      <c r="H39" s="49"/>
      <c r="J39" s="49"/>
      <c r="K39" s="49"/>
      <c r="M39" s="49"/>
      <c r="N39" s="49"/>
      <c r="P39" s="49"/>
      <c r="Q39" s="49"/>
      <c r="S39" s="49"/>
      <c r="T39" s="49"/>
      <c r="V39" s="49"/>
      <c r="W39" s="49"/>
      <c r="Y39" s="49"/>
      <c r="Z39" s="49"/>
    </row>
    <row r="40" customFormat="false" ht="15" hidden="false" customHeight="false" outlineLevel="0" collapsed="false">
      <c r="G40" s="49"/>
      <c r="H40" s="49"/>
      <c r="J40" s="49"/>
      <c r="K40" s="49"/>
      <c r="M40" s="49"/>
      <c r="N40" s="49"/>
      <c r="P40" s="49"/>
      <c r="Q40" s="49"/>
      <c r="S40" s="49"/>
      <c r="T40" s="49"/>
      <c r="V40" s="49"/>
      <c r="W40" s="49"/>
      <c r="Y40" s="49"/>
      <c r="Z40" s="49"/>
    </row>
    <row r="41" customFormat="false" ht="15" hidden="false" customHeight="false" outlineLevel="0" collapsed="false">
      <c r="G41" s="49"/>
      <c r="H41" s="49"/>
      <c r="J41" s="49"/>
      <c r="K41" s="49"/>
      <c r="M41" s="49"/>
      <c r="N41" s="49"/>
      <c r="P41" s="49"/>
      <c r="Q41" s="49"/>
      <c r="S41" s="49"/>
      <c r="T41" s="49"/>
      <c r="V41" s="49"/>
      <c r="W41" s="49"/>
      <c r="Y41" s="49"/>
      <c r="Z41" s="49"/>
    </row>
    <row r="42" customFormat="false" ht="15" hidden="false" customHeight="false" outlineLevel="0" collapsed="false">
      <c r="G42" s="49"/>
      <c r="H42" s="49"/>
      <c r="J42" s="49"/>
      <c r="K42" s="49"/>
      <c r="M42" s="49"/>
      <c r="N42" s="49"/>
      <c r="P42" s="49"/>
      <c r="Q42" s="49"/>
      <c r="S42" s="49"/>
      <c r="T42" s="49"/>
      <c r="V42" s="49"/>
      <c r="W42" s="49"/>
      <c r="Y42" s="49"/>
      <c r="Z42" s="49"/>
    </row>
    <row r="43" customFormat="false" ht="15" hidden="false" customHeight="false" outlineLevel="0" collapsed="false">
      <c r="G43" s="49"/>
      <c r="H43" s="49"/>
      <c r="J43" s="49"/>
      <c r="K43" s="49"/>
      <c r="M43" s="49"/>
      <c r="N43" s="49"/>
      <c r="P43" s="49"/>
      <c r="Q43" s="49"/>
      <c r="S43" s="49"/>
      <c r="T43" s="49"/>
      <c r="V43" s="49"/>
      <c r="W43" s="49"/>
      <c r="Y43" s="49"/>
      <c r="Z43" s="49"/>
    </row>
    <row r="44" customFormat="false" ht="15" hidden="false" customHeight="false" outlineLevel="0" collapsed="false">
      <c r="G44" s="49"/>
      <c r="H44" s="49"/>
      <c r="J44" s="49"/>
      <c r="K44" s="49"/>
      <c r="M44" s="49"/>
      <c r="N44" s="49"/>
      <c r="P44" s="49"/>
      <c r="Q44" s="49"/>
      <c r="S44" s="49"/>
      <c r="T44" s="49"/>
      <c r="V44" s="49"/>
      <c r="W44" s="49"/>
      <c r="Y44" s="49"/>
      <c r="Z44" s="49"/>
    </row>
    <row r="45" customFormat="false" ht="15" hidden="false" customHeight="false" outlineLevel="0" collapsed="false">
      <c r="G45" s="49"/>
      <c r="H45" s="49"/>
      <c r="J45" s="49"/>
      <c r="K45" s="49"/>
      <c r="M45" s="49"/>
      <c r="N45" s="49"/>
      <c r="P45" s="49"/>
      <c r="Q45" s="49"/>
      <c r="S45" s="49"/>
      <c r="T45" s="49"/>
      <c r="V45" s="49"/>
      <c r="W45" s="49"/>
      <c r="Y45" s="49"/>
      <c r="Z45" s="49"/>
    </row>
    <row r="46" customFormat="false" ht="15" hidden="false" customHeight="false" outlineLevel="0" collapsed="false">
      <c r="G46" s="49"/>
      <c r="H46" s="49"/>
      <c r="J46" s="49"/>
      <c r="K46" s="49"/>
      <c r="M46" s="49"/>
      <c r="N46" s="49"/>
      <c r="P46" s="49"/>
      <c r="Q46" s="49"/>
      <c r="S46" s="49"/>
      <c r="T46" s="49"/>
      <c r="V46" s="49"/>
      <c r="W46" s="49"/>
      <c r="Y46" s="49"/>
      <c r="Z46" s="49"/>
    </row>
    <row r="47" customFormat="false" ht="15" hidden="false" customHeight="false" outlineLevel="0" collapsed="false">
      <c r="G47" s="49"/>
      <c r="H47" s="49"/>
      <c r="J47" s="49"/>
      <c r="K47" s="49"/>
      <c r="M47" s="49"/>
      <c r="N47" s="49"/>
      <c r="P47" s="49"/>
      <c r="Q47" s="49"/>
      <c r="S47" s="49"/>
      <c r="T47" s="49"/>
      <c r="V47" s="49"/>
      <c r="W47" s="49"/>
      <c r="Y47" s="49"/>
      <c r="Z47" s="49"/>
    </row>
    <row r="48" customFormat="false" ht="15" hidden="false" customHeight="false" outlineLevel="0" collapsed="false">
      <c r="G48" s="49"/>
      <c r="H48" s="49"/>
      <c r="J48" s="49"/>
      <c r="K48" s="49"/>
      <c r="M48" s="49"/>
      <c r="N48" s="49"/>
      <c r="P48" s="49"/>
      <c r="Q48" s="49"/>
      <c r="S48" s="49"/>
      <c r="T48" s="49"/>
      <c r="V48" s="49"/>
      <c r="W48" s="49"/>
      <c r="Y48" s="49"/>
      <c r="Z48" s="49"/>
    </row>
    <row r="49" customFormat="false" ht="15" hidden="false" customHeight="false" outlineLevel="0" collapsed="false">
      <c r="G49" s="49"/>
      <c r="H49" s="49"/>
      <c r="J49" s="49"/>
      <c r="K49" s="49"/>
      <c r="M49" s="49"/>
      <c r="N49" s="49"/>
      <c r="P49" s="49"/>
      <c r="Q49" s="49"/>
      <c r="S49" s="49"/>
      <c r="T49" s="49"/>
      <c r="V49" s="49"/>
      <c r="W49" s="49"/>
      <c r="Y49" s="49"/>
      <c r="Z49" s="49"/>
    </row>
    <row r="50" customFormat="false" ht="15" hidden="false" customHeight="false" outlineLevel="0" collapsed="false">
      <c r="G50" s="49"/>
      <c r="H50" s="49"/>
      <c r="J50" s="49"/>
      <c r="K50" s="49"/>
      <c r="M50" s="49"/>
      <c r="N50" s="49"/>
      <c r="P50" s="49"/>
      <c r="Q50" s="49"/>
      <c r="S50" s="49"/>
      <c r="T50" s="49"/>
      <c r="V50" s="49"/>
      <c r="W50" s="49"/>
      <c r="Y50" s="49"/>
      <c r="Z50" s="49"/>
    </row>
    <row r="51" customFormat="false" ht="15" hidden="false" customHeight="false" outlineLevel="0" collapsed="false">
      <c r="G51" s="49"/>
      <c r="H51" s="49"/>
      <c r="J51" s="49"/>
      <c r="K51" s="49"/>
      <c r="M51" s="49"/>
      <c r="N51" s="49"/>
      <c r="P51" s="49"/>
      <c r="Q51" s="49"/>
      <c r="S51" s="49"/>
      <c r="T51" s="49"/>
      <c r="V51" s="49"/>
      <c r="W51" s="49"/>
      <c r="Y51" s="49"/>
      <c r="Z51" s="49"/>
    </row>
    <row r="52" customFormat="false" ht="15" hidden="false" customHeight="false" outlineLevel="0" collapsed="false">
      <c r="G52" s="49"/>
      <c r="H52" s="49"/>
      <c r="J52" s="49"/>
      <c r="K52" s="49"/>
      <c r="M52" s="49"/>
      <c r="N52" s="49"/>
      <c r="P52" s="49"/>
      <c r="Q52" s="49"/>
      <c r="S52" s="49"/>
      <c r="T52" s="49"/>
      <c r="V52" s="49"/>
      <c r="W52" s="49"/>
      <c r="Y52" s="49"/>
      <c r="Z52" s="49"/>
    </row>
    <row r="53" customFormat="false" ht="15" hidden="false" customHeight="false" outlineLevel="0" collapsed="false">
      <c r="G53" s="49"/>
      <c r="H53" s="49"/>
      <c r="J53" s="49"/>
      <c r="K53" s="49"/>
      <c r="M53" s="49"/>
      <c r="N53" s="49"/>
      <c r="P53" s="49"/>
      <c r="Q53" s="49"/>
      <c r="S53" s="49"/>
      <c r="T53" s="49"/>
      <c r="V53" s="49"/>
      <c r="W53" s="49"/>
      <c r="Y53" s="49"/>
      <c r="Z53" s="49"/>
    </row>
    <row r="54" customFormat="false" ht="15" hidden="false" customHeight="false" outlineLevel="0" collapsed="false">
      <c r="G54" s="49"/>
      <c r="H54" s="49"/>
      <c r="J54" s="49"/>
      <c r="K54" s="49"/>
      <c r="M54" s="49"/>
      <c r="N54" s="49"/>
      <c r="P54" s="49"/>
      <c r="Q54" s="49"/>
      <c r="S54" s="49"/>
      <c r="T54" s="49"/>
      <c r="V54" s="49"/>
      <c r="W54" s="49"/>
      <c r="Y54" s="49"/>
      <c r="Z54" s="49"/>
    </row>
    <row r="55" customFormat="false" ht="15" hidden="false" customHeight="false" outlineLevel="0" collapsed="false">
      <c r="G55" s="49"/>
      <c r="H55" s="49"/>
      <c r="J55" s="49"/>
      <c r="K55" s="49"/>
      <c r="M55" s="49"/>
      <c r="N55" s="49"/>
      <c r="P55" s="49"/>
      <c r="Q55" s="49"/>
      <c r="S55" s="49"/>
      <c r="T55" s="49"/>
      <c r="V55" s="49"/>
      <c r="W55" s="49"/>
      <c r="Y55" s="49"/>
      <c r="Z55" s="49"/>
    </row>
    <row r="56" customFormat="false" ht="15" hidden="false" customHeight="false" outlineLevel="0" collapsed="false">
      <c r="G56" s="49"/>
      <c r="H56" s="49"/>
      <c r="J56" s="49"/>
      <c r="K56" s="49"/>
      <c r="M56" s="49"/>
      <c r="N56" s="49"/>
      <c r="P56" s="49"/>
      <c r="Q56" s="49"/>
      <c r="S56" s="49"/>
      <c r="T56" s="49"/>
      <c r="V56" s="49"/>
      <c r="W56" s="49"/>
      <c r="Y56" s="49"/>
      <c r="Z56" s="49"/>
    </row>
    <row r="57" customFormat="false" ht="15" hidden="false" customHeight="false" outlineLevel="0" collapsed="false">
      <c r="G57" s="49"/>
      <c r="H57" s="49"/>
      <c r="J57" s="49"/>
      <c r="K57" s="49"/>
      <c r="M57" s="49"/>
      <c r="N57" s="49"/>
      <c r="P57" s="49"/>
      <c r="Q57" s="49"/>
      <c r="S57" s="49"/>
      <c r="T57" s="49"/>
      <c r="V57" s="49"/>
      <c r="W57" s="49"/>
      <c r="Y57" s="49"/>
      <c r="Z57" s="49"/>
    </row>
    <row r="58" customFormat="false" ht="15" hidden="false" customHeight="false" outlineLevel="0" collapsed="false">
      <c r="G58" s="49"/>
      <c r="H58" s="49"/>
      <c r="J58" s="49"/>
      <c r="K58" s="49"/>
      <c r="M58" s="49"/>
      <c r="N58" s="49"/>
      <c r="P58" s="49"/>
      <c r="Q58" s="49"/>
      <c r="S58" s="49"/>
      <c r="T58" s="49"/>
      <c r="V58" s="49"/>
      <c r="W58" s="49"/>
      <c r="Y58" s="49"/>
      <c r="Z58" s="49"/>
    </row>
    <row r="59" customFormat="false" ht="15" hidden="false" customHeight="false" outlineLevel="0" collapsed="false">
      <c r="G59" s="49"/>
      <c r="H59" s="49"/>
      <c r="J59" s="49"/>
      <c r="K59" s="49"/>
      <c r="M59" s="49"/>
      <c r="N59" s="49"/>
      <c r="P59" s="49"/>
      <c r="Q59" s="49"/>
      <c r="S59" s="49"/>
      <c r="T59" s="49"/>
      <c r="V59" s="49"/>
      <c r="W59" s="49"/>
      <c r="Y59" s="49"/>
      <c r="Z59" s="49"/>
    </row>
    <row r="60" customFormat="false" ht="15" hidden="false" customHeight="false" outlineLevel="0" collapsed="false">
      <c r="G60" s="49"/>
      <c r="H60" s="49"/>
      <c r="J60" s="49"/>
      <c r="K60" s="49"/>
      <c r="M60" s="49"/>
      <c r="N60" s="49"/>
      <c r="P60" s="49"/>
      <c r="Q60" s="49"/>
      <c r="S60" s="49"/>
      <c r="T60" s="49"/>
      <c r="V60" s="49"/>
      <c r="W60" s="49"/>
      <c r="Y60" s="49"/>
      <c r="Z60" s="49"/>
    </row>
    <row r="61" customFormat="false" ht="15" hidden="false" customHeight="false" outlineLevel="0" collapsed="false">
      <c r="G61" s="49"/>
      <c r="H61" s="49"/>
      <c r="J61" s="49"/>
      <c r="K61" s="49"/>
      <c r="M61" s="49"/>
      <c r="N61" s="49"/>
      <c r="P61" s="49"/>
      <c r="Q61" s="49"/>
      <c r="S61" s="49"/>
      <c r="T61" s="49"/>
      <c r="V61" s="49"/>
      <c r="W61" s="49"/>
      <c r="Y61" s="49"/>
      <c r="Z61" s="49"/>
    </row>
    <row r="62" customFormat="false" ht="15" hidden="false" customHeight="false" outlineLevel="0" collapsed="false">
      <c r="G62" s="49"/>
      <c r="H62" s="49"/>
      <c r="J62" s="49"/>
      <c r="K62" s="49"/>
      <c r="M62" s="49"/>
      <c r="N62" s="49"/>
      <c r="P62" s="49"/>
      <c r="Q62" s="49"/>
      <c r="S62" s="49"/>
      <c r="T62" s="49"/>
      <c r="V62" s="49"/>
      <c r="W62" s="49"/>
      <c r="Y62" s="49"/>
      <c r="Z62" s="49"/>
    </row>
    <row r="63" customFormat="false" ht="15" hidden="false" customHeight="false" outlineLevel="0" collapsed="false">
      <c r="G63" s="49"/>
      <c r="H63" s="49"/>
      <c r="J63" s="49"/>
      <c r="K63" s="49"/>
      <c r="M63" s="49"/>
      <c r="N63" s="49"/>
      <c r="P63" s="49"/>
      <c r="Q63" s="49"/>
      <c r="S63" s="49"/>
      <c r="T63" s="49"/>
      <c r="V63" s="49"/>
      <c r="W63" s="49"/>
      <c r="Y63" s="49"/>
      <c r="Z63" s="49"/>
    </row>
    <row r="64" customFormat="false" ht="15" hidden="false" customHeight="false" outlineLevel="0" collapsed="false">
      <c r="G64" s="49"/>
      <c r="H64" s="49"/>
      <c r="J64" s="49"/>
      <c r="K64" s="49"/>
      <c r="M64" s="49"/>
      <c r="N64" s="49"/>
      <c r="P64" s="49"/>
      <c r="Q64" s="49"/>
      <c r="S64" s="49"/>
      <c r="T64" s="49"/>
      <c r="V64" s="49"/>
      <c r="W64" s="49"/>
      <c r="Y64" s="49"/>
      <c r="Z64" s="49"/>
    </row>
    <row r="65" customFormat="false" ht="15" hidden="false" customHeight="false" outlineLevel="0" collapsed="false">
      <c r="G65" s="49"/>
      <c r="H65" s="49"/>
      <c r="J65" s="49"/>
      <c r="K65" s="49"/>
      <c r="M65" s="49"/>
      <c r="N65" s="49"/>
      <c r="P65" s="49"/>
      <c r="Q65" s="49"/>
      <c r="S65" s="49"/>
      <c r="T65" s="49"/>
      <c r="V65" s="49"/>
      <c r="W65" s="49"/>
      <c r="Y65" s="49"/>
      <c r="Z65" s="49"/>
    </row>
    <row r="66" customFormat="false" ht="15" hidden="false" customHeight="false" outlineLevel="0" collapsed="false">
      <c r="G66" s="49"/>
      <c r="H66" s="49"/>
      <c r="J66" s="49"/>
      <c r="K66" s="49"/>
      <c r="M66" s="49"/>
      <c r="N66" s="49"/>
      <c r="P66" s="49"/>
      <c r="Q66" s="49"/>
      <c r="S66" s="49"/>
      <c r="T66" s="49"/>
      <c r="V66" s="49"/>
      <c r="W66" s="49"/>
      <c r="Y66" s="49"/>
      <c r="Z66" s="49"/>
    </row>
    <row r="67" customFormat="false" ht="15" hidden="false" customHeight="false" outlineLevel="0" collapsed="false">
      <c r="G67" s="49"/>
      <c r="H67" s="49"/>
      <c r="J67" s="49"/>
      <c r="K67" s="49"/>
      <c r="M67" s="49"/>
      <c r="N67" s="49"/>
      <c r="P67" s="49"/>
      <c r="Q67" s="49"/>
      <c r="S67" s="49"/>
      <c r="T67" s="49"/>
      <c r="V67" s="49"/>
      <c r="W67" s="49"/>
      <c r="Y67" s="49"/>
      <c r="Z67" s="49"/>
    </row>
    <row r="68" customFormat="false" ht="15" hidden="false" customHeight="false" outlineLevel="0" collapsed="false">
      <c r="G68" s="49"/>
      <c r="H68" s="49"/>
      <c r="J68" s="49"/>
      <c r="K68" s="49"/>
      <c r="M68" s="49"/>
      <c r="N68" s="49"/>
      <c r="P68" s="49"/>
      <c r="Q68" s="49"/>
      <c r="S68" s="49"/>
      <c r="T68" s="49"/>
      <c r="V68" s="49"/>
      <c r="W68" s="49"/>
      <c r="Y68" s="49"/>
      <c r="Z68" s="49"/>
    </row>
    <row r="69" customFormat="false" ht="15" hidden="false" customHeight="false" outlineLevel="0" collapsed="false">
      <c r="G69" s="49"/>
      <c r="H69" s="49"/>
      <c r="J69" s="49"/>
      <c r="K69" s="49"/>
      <c r="M69" s="49"/>
      <c r="N69" s="49"/>
      <c r="P69" s="49"/>
      <c r="Q69" s="49"/>
      <c r="S69" s="49"/>
      <c r="T69" s="49"/>
      <c r="V69" s="49"/>
      <c r="W69" s="49"/>
      <c r="Y69" s="49"/>
      <c r="Z69" s="49"/>
    </row>
    <row r="70" customFormat="false" ht="15" hidden="false" customHeight="false" outlineLevel="0" collapsed="false">
      <c r="G70" s="49"/>
      <c r="H70" s="49"/>
      <c r="J70" s="49"/>
      <c r="K70" s="49"/>
      <c r="M70" s="49"/>
      <c r="N70" s="49"/>
      <c r="P70" s="49"/>
      <c r="Q70" s="49"/>
      <c r="S70" s="49"/>
      <c r="T70" s="49"/>
      <c r="V70" s="49"/>
      <c r="W70" s="49"/>
      <c r="Y70" s="49"/>
      <c r="Z70" s="49"/>
    </row>
    <row r="71" customFormat="false" ht="15" hidden="false" customHeight="false" outlineLevel="0" collapsed="false">
      <c r="G71" s="49"/>
      <c r="H71" s="49"/>
      <c r="J71" s="49"/>
      <c r="K71" s="49"/>
      <c r="M71" s="49"/>
      <c r="N71" s="49"/>
      <c r="P71" s="49"/>
      <c r="Q71" s="49"/>
      <c r="S71" s="49"/>
      <c r="T71" s="49"/>
      <c r="V71" s="49"/>
      <c r="W71" s="49"/>
      <c r="Y71" s="49"/>
      <c r="Z71" s="49"/>
    </row>
    <row r="72" customFormat="false" ht="15" hidden="false" customHeight="false" outlineLevel="0" collapsed="false">
      <c r="G72" s="49"/>
      <c r="H72" s="49"/>
      <c r="J72" s="49"/>
      <c r="K72" s="49"/>
      <c r="M72" s="49"/>
      <c r="N72" s="49"/>
      <c r="P72" s="49"/>
      <c r="Q72" s="49"/>
      <c r="S72" s="49"/>
      <c r="T72" s="49"/>
      <c r="V72" s="49"/>
      <c r="W72" s="49"/>
      <c r="Y72" s="49"/>
      <c r="Z72" s="49"/>
    </row>
    <row r="73" customFormat="false" ht="15" hidden="false" customHeight="false" outlineLevel="0" collapsed="false">
      <c r="G73" s="49"/>
      <c r="H73" s="49"/>
      <c r="J73" s="49"/>
      <c r="K73" s="49"/>
      <c r="M73" s="49"/>
      <c r="N73" s="49"/>
      <c r="P73" s="49"/>
      <c r="Q73" s="49"/>
      <c r="S73" s="49"/>
      <c r="T73" s="49"/>
      <c r="V73" s="49"/>
      <c r="W73" s="49"/>
      <c r="Y73" s="49"/>
      <c r="Z73" s="49"/>
    </row>
    <row r="74" customFormat="false" ht="15" hidden="false" customHeight="false" outlineLevel="0" collapsed="false">
      <c r="G74" s="49"/>
      <c r="H74" s="49"/>
      <c r="J74" s="49"/>
      <c r="K74" s="49"/>
      <c r="M74" s="49"/>
      <c r="N74" s="49"/>
      <c r="P74" s="49"/>
      <c r="Q74" s="49"/>
      <c r="S74" s="49"/>
      <c r="T74" s="49"/>
      <c r="V74" s="49"/>
      <c r="W74" s="49"/>
      <c r="Y74" s="49"/>
      <c r="Z74" s="49"/>
    </row>
    <row r="75" customFormat="false" ht="15" hidden="false" customHeight="false" outlineLevel="0" collapsed="false">
      <c r="G75" s="49"/>
      <c r="H75" s="49"/>
      <c r="J75" s="49"/>
      <c r="K75" s="49"/>
      <c r="M75" s="49"/>
      <c r="N75" s="49"/>
      <c r="P75" s="49"/>
      <c r="Q75" s="49"/>
      <c r="S75" s="49"/>
      <c r="T75" s="49"/>
      <c r="V75" s="49"/>
      <c r="W75" s="49"/>
      <c r="Y75" s="49"/>
      <c r="Z75" s="49"/>
    </row>
    <row r="76" customFormat="false" ht="15" hidden="false" customHeight="false" outlineLevel="0" collapsed="false">
      <c r="G76" s="49"/>
      <c r="H76" s="49"/>
      <c r="J76" s="49"/>
      <c r="K76" s="49"/>
      <c r="M76" s="49"/>
      <c r="N76" s="49"/>
      <c r="P76" s="49"/>
      <c r="Q76" s="49"/>
      <c r="S76" s="49"/>
      <c r="T76" s="49"/>
      <c r="V76" s="49"/>
      <c r="W76" s="49"/>
      <c r="Y76" s="49"/>
      <c r="Z76" s="49"/>
    </row>
    <row r="77" customFormat="false" ht="15" hidden="false" customHeight="false" outlineLevel="0" collapsed="false">
      <c r="G77" s="49"/>
      <c r="H77" s="49"/>
      <c r="J77" s="49"/>
      <c r="K77" s="49"/>
      <c r="M77" s="49"/>
      <c r="N77" s="49"/>
      <c r="P77" s="49"/>
      <c r="Q77" s="49"/>
      <c r="S77" s="49"/>
      <c r="T77" s="49"/>
      <c r="V77" s="49"/>
      <c r="W77" s="49"/>
      <c r="Y77" s="49"/>
      <c r="Z77" s="49"/>
    </row>
    <row r="78" customFormat="false" ht="15" hidden="false" customHeight="false" outlineLevel="0" collapsed="false">
      <c r="G78" s="49"/>
      <c r="H78" s="49"/>
      <c r="J78" s="49"/>
      <c r="K78" s="49"/>
      <c r="M78" s="49"/>
      <c r="N78" s="49"/>
      <c r="P78" s="49"/>
      <c r="Q78" s="49"/>
      <c r="S78" s="49"/>
      <c r="T78" s="49"/>
      <c r="V78" s="49"/>
      <c r="W78" s="49"/>
      <c r="Y78" s="49"/>
      <c r="Z78" s="49"/>
    </row>
    <row r="79" customFormat="false" ht="15" hidden="false" customHeight="false" outlineLevel="0" collapsed="false">
      <c r="G79" s="49"/>
      <c r="H79" s="49"/>
      <c r="J79" s="49"/>
      <c r="K79" s="49"/>
      <c r="M79" s="49"/>
      <c r="N79" s="49"/>
      <c r="P79" s="49"/>
      <c r="Q79" s="49"/>
      <c r="S79" s="49"/>
      <c r="T79" s="49"/>
      <c r="V79" s="49"/>
      <c r="W79" s="49"/>
      <c r="Y79" s="49"/>
      <c r="Z79" s="49"/>
    </row>
    <row r="80" customFormat="false" ht="15" hidden="false" customHeight="false" outlineLevel="0" collapsed="false">
      <c r="G80" s="49"/>
      <c r="H80" s="49"/>
      <c r="J80" s="49"/>
      <c r="K80" s="49"/>
      <c r="M80" s="49"/>
      <c r="N80" s="49"/>
      <c r="P80" s="49"/>
      <c r="Q80" s="49"/>
      <c r="S80" s="49"/>
      <c r="T80" s="49"/>
      <c r="V80" s="49"/>
      <c r="W80" s="49"/>
      <c r="Y80" s="49"/>
      <c r="Z80" s="49"/>
    </row>
    <row r="81" customFormat="false" ht="15" hidden="false" customHeight="false" outlineLevel="0" collapsed="false">
      <c r="G81" s="49"/>
      <c r="H81" s="49"/>
      <c r="J81" s="49"/>
      <c r="K81" s="49"/>
      <c r="M81" s="49"/>
      <c r="N81" s="49"/>
      <c r="P81" s="49"/>
      <c r="Q81" s="49"/>
      <c r="S81" s="49"/>
      <c r="T81" s="49"/>
      <c r="V81" s="49"/>
      <c r="W81" s="49"/>
      <c r="Y81" s="49"/>
      <c r="Z81" s="49"/>
    </row>
    <row r="82" customFormat="false" ht="15" hidden="false" customHeight="false" outlineLevel="0" collapsed="false">
      <c r="G82" s="49"/>
      <c r="H82" s="49"/>
      <c r="J82" s="49"/>
      <c r="K82" s="49"/>
      <c r="M82" s="49"/>
      <c r="N82" s="49"/>
      <c r="P82" s="49"/>
      <c r="Q82" s="49"/>
      <c r="S82" s="49"/>
      <c r="T82" s="49"/>
      <c r="V82" s="49"/>
      <c r="W82" s="49"/>
      <c r="Y82" s="49"/>
      <c r="Z82" s="49"/>
    </row>
    <row r="83" customFormat="false" ht="15" hidden="false" customHeight="false" outlineLevel="0" collapsed="false">
      <c r="G83" s="49"/>
      <c r="H83" s="49"/>
      <c r="J83" s="49"/>
      <c r="K83" s="49"/>
      <c r="M83" s="49"/>
      <c r="N83" s="49"/>
      <c r="P83" s="49"/>
      <c r="Q83" s="49"/>
      <c r="S83" s="49"/>
      <c r="T83" s="49"/>
      <c r="V83" s="49"/>
      <c r="W83" s="49"/>
      <c r="Y83" s="49"/>
      <c r="Z83" s="49"/>
    </row>
    <row r="84" customFormat="false" ht="15" hidden="false" customHeight="false" outlineLevel="0" collapsed="false">
      <c r="G84" s="49"/>
      <c r="H84" s="49"/>
      <c r="J84" s="49"/>
      <c r="K84" s="49"/>
      <c r="M84" s="49"/>
      <c r="N84" s="49"/>
      <c r="P84" s="49"/>
      <c r="Q84" s="49"/>
      <c r="S84" s="49"/>
      <c r="T84" s="49"/>
      <c r="V84" s="49"/>
      <c r="W84" s="49"/>
      <c r="Y84" s="49"/>
      <c r="Z84" s="49"/>
    </row>
    <row r="85" customFormat="false" ht="15" hidden="false" customHeight="false" outlineLevel="0" collapsed="false">
      <c r="G85" s="49"/>
      <c r="H85" s="49"/>
      <c r="J85" s="49"/>
      <c r="K85" s="49"/>
      <c r="M85" s="49"/>
      <c r="N85" s="49"/>
      <c r="P85" s="49"/>
      <c r="Q85" s="49"/>
      <c r="S85" s="49"/>
      <c r="T85" s="49"/>
      <c r="V85" s="49"/>
      <c r="W85" s="49"/>
      <c r="Y85" s="49"/>
      <c r="Z85" s="49"/>
    </row>
    <row r="86" customFormat="false" ht="15" hidden="false" customHeight="false" outlineLevel="0" collapsed="false">
      <c r="G86" s="49"/>
      <c r="H86" s="49"/>
      <c r="J86" s="49"/>
      <c r="K86" s="49"/>
      <c r="M86" s="49"/>
      <c r="N86" s="49"/>
      <c r="P86" s="49"/>
      <c r="Q86" s="49"/>
      <c r="S86" s="49"/>
      <c r="T86" s="49"/>
      <c r="V86" s="49"/>
      <c r="W86" s="49"/>
      <c r="Y86" s="49"/>
      <c r="Z86" s="49"/>
    </row>
    <row r="87" customFormat="false" ht="15" hidden="false" customHeight="false" outlineLevel="0" collapsed="false">
      <c r="G87" s="49"/>
      <c r="H87" s="49"/>
      <c r="J87" s="49"/>
      <c r="K87" s="49"/>
      <c r="M87" s="49"/>
      <c r="N87" s="49"/>
      <c r="P87" s="49"/>
      <c r="Q87" s="49"/>
      <c r="S87" s="49"/>
      <c r="T87" s="49"/>
      <c r="V87" s="49"/>
      <c r="W87" s="49"/>
      <c r="Y87" s="49"/>
      <c r="Z87" s="49"/>
    </row>
    <row r="88" customFormat="false" ht="15" hidden="false" customHeight="false" outlineLevel="0" collapsed="false">
      <c r="G88" s="49"/>
      <c r="H88" s="49"/>
      <c r="J88" s="49"/>
      <c r="K88" s="49"/>
      <c r="M88" s="49"/>
      <c r="N88" s="49"/>
      <c r="P88" s="49"/>
      <c r="Q88" s="49"/>
      <c r="S88" s="49"/>
      <c r="T88" s="49"/>
      <c r="V88" s="49"/>
      <c r="W88" s="49"/>
      <c r="Y88" s="49"/>
      <c r="Z88" s="49"/>
    </row>
    <row r="89" customFormat="false" ht="15" hidden="false" customHeight="false" outlineLevel="0" collapsed="false">
      <c r="G89" s="49"/>
      <c r="H89" s="49"/>
      <c r="J89" s="49"/>
      <c r="K89" s="49"/>
      <c r="M89" s="49"/>
      <c r="N89" s="49"/>
      <c r="P89" s="49"/>
      <c r="Q89" s="49"/>
      <c r="S89" s="49"/>
      <c r="T89" s="49"/>
      <c r="V89" s="49"/>
      <c r="W89" s="49"/>
      <c r="Y89" s="49"/>
      <c r="Z89" s="49"/>
    </row>
    <row r="90" customFormat="false" ht="15" hidden="false" customHeight="false" outlineLevel="0" collapsed="false">
      <c r="G90" s="49"/>
      <c r="H90" s="49"/>
      <c r="J90" s="49"/>
      <c r="K90" s="49"/>
      <c r="M90" s="49"/>
      <c r="N90" s="49"/>
      <c r="P90" s="49"/>
      <c r="Q90" s="49"/>
      <c r="S90" s="49"/>
      <c r="T90" s="49"/>
      <c r="V90" s="49"/>
      <c r="W90" s="49"/>
      <c r="Y90" s="49"/>
      <c r="Z90" s="49"/>
    </row>
    <row r="91" customFormat="false" ht="15" hidden="false" customHeight="false" outlineLevel="0" collapsed="false">
      <c r="G91" s="49"/>
      <c r="H91" s="49"/>
      <c r="J91" s="49"/>
      <c r="K91" s="49"/>
      <c r="M91" s="49"/>
      <c r="N91" s="49"/>
      <c r="P91" s="49"/>
      <c r="Q91" s="49"/>
      <c r="S91" s="49"/>
      <c r="T91" s="49"/>
      <c r="V91" s="49"/>
      <c r="W91" s="49"/>
      <c r="Y91" s="49"/>
      <c r="Z91" s="49"/>
    </row>
    <row r="92" customFormat="false" ht="15" hidden="false" customHeight="false" outlineLevel="0" collapsed="false">
      <c r="G92" s="49"/>
      <c r="H92" s="49"/>
      <c r="J92" s="49"/>
      <c r="K92" s="49"/>
      <c r="M92" s="49"/>
      <c r="N92" s="49"/>
      <c r="P92" s="49"/>
      <c r="Q92" s="49"/>
      <c r="S92" s="49"/>
      <c r="T92" s="49"/>
      <c r="V92" s="49"/>
      <c r="W92" s="49"/>
      <c r="Y92" s="49"/>
      <c r="Z92" s="49"/>
    </row>
    <row r="93" customFormat="false" ht="15" hidden="false" customHeight="false" outlineLevel="0" collapsed="false">
      <c r="G93" s="49"/>
      <c r="H93" s="49"/>
      <c r="J93" s="49"/>
      <c r="K93" s="49"/>
      <c r="M93" s="49"/>
      <c r="N93" s="49"/>
      <c r="P93" s="49"/>
      <c r="Q93" s="49"/>
      <c r="S93" s="49"/>
      <c r="T93" s="49"/>
      <c r="V93" s="49"/>
      <c r="W93" s="49"/>
      <c r="Y93" s="49"/>
      <c r="Z93" s="49"/>
    </row>
    <row r="94" customFormat="false" ht="15" hidden="false" customHeight="false" outlineLevel="0" collapsed="false">
      <c r="G94" s="49"/>
      <c r="H94" s="49"/>
      <c r="J94" s="49"/>
      <c r="K94" s="49"/>
      <c r="M94" s="49"/>
      <c r="N94" s="49"/>
      <c r="P94" s="49"/>
      <c r="Q94" s="49"/>
      <c r="S94" s="49"/>
      <c r="T94" s="49"/>
      <c r="V94" s="49"/>
      <c r="W94" s="49"/>
      <c r="Y94" s="49"/>
      <c r="Z94" s="49"/>
    </row>
    <row r="95" customFormat="false" ht="15" hidden="false" customHeight="false" outlineLevel="0" collapsed="false">
      <c r="G95" s="49"/>
      <c r="H95" s="49"/>
      <c r="J95" s="49"/>
      <c r="K95" s="49"/>
      <c r="M95" s="49"/>
      <c r="N95" s="49"/>
      <c r="P95" s="49"/>
      <c r="Q95" s="49"/>
      <c r="S95" s="49"/>
      <c r="T95" s="49"/>
      <c r="V95" s="49"/>
      <c r="W95" s="49"/>
      <c r="Y95" s="49"/>
      <c r="Z95" s="49"/>
    </row>
    <row r="96" customFormat="false" ht="15" hidden="false" customHeight="false" outlineLevel="0" collapsed="false">
      <c r="G96" s="49"/>
      <c r="H96" s="49"/>
      <c r="J96" s="49"/>
      <c r="K96" s="49"/>
      <c r="M96" s="49"/>
      <c r="N96" s="49"/>
      <c r="P96" s="49"/>
      <c r="Q96" s="49"/>
      <c r="S96" s="49"/>
      <c r="T96" s="49"/>
      <c r="V96" s="49"/>
      <c r="W96" s="49"/>
      <c r="Y96" s="49"/>
      <c r="Z96" s="49"/>
    </row>
    <row r="97" customFormat="false" ht="15" hidden="false" customHeight="false" outlineLevel="0" collapsed="false">
      <c r="G97" s="49"/>
      <c r="H97" s="49"/>
      <c r="J97" s="49"/>
      <c r="K97" s="49"/>
      <c r="M97" s="49"/>
      <c r="N97" s="49"/>
      <c r="P97" s="49"/>
      <c r="Q97" s="49"/>
      <c r="S97" s="49"/>
      <c r="T97" s="49"/>
      <c r="V97" s="49"/>
      <c r="W97" s="49"/>
      <c r="Y97" s="49"/>
      <c r="Z97" s="49"/>
    </row>
    <row r="98" customFormat="false" ht="15" hidden="false" customHeight="false" outlineLevel="0" collapsed="false">
      <c r="G98" s="49"/>
      <c r="H98" s="49"/>
      <c r="J98" s="49"/>
      <c r="K98" s="49"/>
      <c r="M98" s="49"/>
      <c r="N98" s="49"/>
      <c r="P98" s="49"/>
      <c r="Q98" s="49"/>
      <c r="S98" s="49"/>
      <c r="T98" s="49"/>
      <c r="V98" s="49"/>
      <c r="W98" s="49"/>
      <c r="Y98" s="49"/>
      <c r="Z98" s="49"/>
    </row>
    <row r="99" customFormat="false" ht="15" hidden="false" customHeight="false" outlineLevel="0" collapsed="false">
      <c r="G99" s="49"/>
      <c r="H99" s="49"/>
      <c r="J99" s="49"/>
      <c r="K99" s="49"/>
      <c r="M99" s="49"/>
      <c r="N99" s="49"/>
      <c r="P99" s="49"/>
      <c r="Q99" s="49"/>
      <c r="S99" s="49"/>
      <c r="T99" s="49"/>
      <c r="V99" s="49"/>
      <c r="W99" s="49"/>
      <c r="Y99" s="49"/>
      <c r="Z99" s="49"/>
    </row>
    <row r="100" customFormat="false" ht="15" hidden="false" customHeight="false" outlineLevel="0" collapsed="false">
      <c r="G100" s="49"/>
      <c r="H100" s="49"/>
      <c r="J100" s="49"/>
      <c r="K100" s="49"/>
      <c r="M100" s="49"/>
      <c r="N100" s="49"/>
      <c r="P100" s="49"/>
      <c r="Q100" s="49"/>
      <c r="S100" s="49"/>
      <c r="T100" s="49"/>
      <c r="V100" s="49"/>
      <c r="W100" s="49"/>
      <c r="Y100" s="49"/>
      <c r="Z100" s="49"/>
    </row>
    <row r="101" customFormat="false" ht="15" hidden="false" customHeight="false" outlineLevel="0" collapsed="false">
      <c r="G101" s="49"/>
      <c r="H101" s="49"/>
      <c r="J101" s="49"/>
      <c r="K101" s="49"/>
      <c r="M101" s="49"/>
      <c r="N101" s="49"/>
      <c r="P101" s="49"/>
      <c r="Q101" s="49"/>
      <c r="S101" s="49"/>
      <c r="T101" s="49"/>
      <c r="V101" s="49"/>
      <c r="W101" s="49"/>
      <c r="Y101" s="49"/>
      <c r="Z101" s="49"/>
    </row>
    <row r="102" customFormat="false" ht="15" hidden="false" customHeight="false" outlineLevel="0" collapsed="false">
      <c r="G102" s="49"/>
      <c r="H102" s="49"/>
      <c r="J102" s="49"/>
      <c r="K102" s="49"/>
      <c r="M102" s="49"/>
      <c r="N102" s="49"/>
      <c r="P102" s="49"/>
      <c r="Q102" s="49"/>
      <c r="S102" s="49"/>
      <c r="T102" s="49"/>
      <c r="V102" s="49"/>
      <c r="W102" s="49"/>
      <c r="Y102" s="49"/>
      <c r="Z102" s="49"/>
    </row>
    <row r="103" customFormat="false" ht="15" hidden="false" customHeight="false" outlineLevel="0" collapsed="false">
      <c r="G103" s="49"/>
      <c r="H103" s="49"/>
      <c r="J103" s="49"/>
      <c r="K103" s="49"/>
      <c r="M103" s="49"/>
      <c r="N103" s="49"/>
      <c r="P103" s="49"/>
      <c r="Q103" s="49"/>
      <c r="S103" s="49"/>
      <c r="T103" s="49"/>
      <c r="V103" s="49"/>
      <c r="W103" s="49"/>
      <c r="Y103" s="49"/>
      <c r="Z103" s="49"/>
    </row>
    <row r="104" customFormat="false" ht="15" hidden="false" customHeight="false" outlineLevel="0" collapsed="false">
      <c r="G104" s="49"/>
      <c r="H104" s="49"/>
      <c r="J104" s="49"/>
      <c r="K104" s="49"/>
      <c r="M104" s="49"/>
      <c r="N104" s="49"/>
      <c r="P104" s="49"/>
      <c r="Q104" s="49"/>
      <c r="S104" s="49"/>
      <c r="T104" s="49"/>
      <c r="V104" s="49"/>
      <c r="W104" s="49"/>
      <c r="Y104" s="49"/>
      <c r="Z104" s="49"/>
    </row>
    <row r="105" customFormat="false" ht="15" hidden="false" customHeight="false" outlineLevel="0" collapsed="false">
      <c r="G105" s="49"/>
      <c r="H105" s="49"/>
      <c r="J105" s="49"/>
      <c r="K105" s="49"/>
      <c r="M105" s="49"/>
      <c r="N105" s="49"/>
      <c r="P105" s="49"/>
      <c r="Q105" s="49"/>
      <c r="S105" s="49"/>
      <c r="T105" s="49"/>
      <c r="V105" s="49"/>
      <c r="W105" s="49"/>
      <c r="Y105" s="49"/>
      <c r="Z105" s="49"/>
    </row>
    <row r="106" customFormat="false" ht="15" hidden="false" customHeight="false" outlineLevel="0" collapsed="false">
      <c r="G106" s="49"/>
      <c r="H106" s="49"/>
      <c r="J106" s="49"/>
      <c r="K106" s="49"/>
      <c r="M106" s="49"/>
      <c r="N106" s="49"/>
      <c r="P106" s="49"/>
      <c r="Q106" s="49"/>
      <c r="S106" s="49"/>
      <c r="T106" s="49"/>
      <c r="V106" s="49"/>
      <c r="W106" s="49"/>
      <c r="Y106" s="49"/>
      <c r="Z106" s="49"/>
    </row>
    <row r="107" customFormat="false" ht="15" hidden="false" customHeight="false" outlineLevel="0" collapsed="false">
      <c r="G107" s="49"/>
      <c r="H107" s="49"/>
      <c r="J107" s="49"/>
      <c r="K107" s="49"/>
      <c r="M107" s="49"/>
      <c r="N107" s="49"/>
      <c r="P107" s="49"/>
      <c r="Q107" s="49"/>
      <c r="S107" s="49"/>
      <c r="T107" s="49"/>
      <c r="V107" s="49"/>
      <c r="W107" s="49"/>
      <c r="Y107" s="49"/>
      <c r="Z107" s="49"/>
    </row>
    <row r="108" customFormat="false" ht="15" hidden="false" customHeight="false" outlineLevel="0" collapsed="false">
      <c r="G108" s="49"/>
      <c r="H108" s="49"/>
      <c r="J108" s="49"/>
      <c r="K108" s="49"/>
      <c r="M108" s="49"/>
      <c r="N108" s="49"/>
      <c r="P108" s="49"/>
      <c r="Q108" s="49"/>
      <c r="S108" s="49"/>
      <c r="T108" s="49"/>
      <c r="V108" s="49"/>
      <c r="W108" s="49"/>
      <c r="Y108" s="49"/>
      <c r="Z108" s="49"/>
    </row>
    <row r="109" customFormat="false" ht="15" hidden="false" customHeight="false" outlineLevel="0" collapsed="false">
      <c r="G109" s="49"/>
      <c r="H109" s="49"/>
      <c r="J109" s="49"/>
      <c r="K109" s="49"/>
      <c r="M109" s="49"/>
      <c r="N109" s="49"/>
      <c r="P109" s="49"/>
      <c r="Q109" s="49"/>
      <c r="S109" s="49"/>
      <c r="T109" s="49"/>
      <c r="V109" s="49"/>
      <c r="W109" s="49"/>
      <c r="Y109" s="49"/>
      <c r="Z109" s="49"/>
    </row>
    <row r="110" customFormat="false" ht="15" hidden="false" customHeight="false" outlineLevel="0" collapsed="false">
      <c r="G110" s="49"/>
      <c r="H110" s="49"/>
      <c r="J110" s="49"/>
      <c r="K110" s="49"/>
      <c r="M110" s="49"/>
      <c r="N110" s="49"/>
      <c r="P110" s="49"/>
      <c r="Q110" s="49"/>
      <c r="S110" s="49"/>
      <c r="T110" s="49"/>
      <c r="V110" s="49"/>
      <c r="W110" s="49"/>
      <c r="Y110" s="49"/>
      <c r="Z110" s="49"/>
    </row>
    <row r="111" customFormat="false" ht="15" hidden="false" customHeight="false" outlineLevel="0" collapsed="false">
      <c r="G111" s="49"/>
      <c r="H111" s="49"/>
      <c r="J111" s="49"/>
      <c r="K111" s="49"/>
      <c r="M111" s="49"/>
      <c r="N111" s="49"/>
      <c r="P111" s="49"/>
      <c r="Q111" s="49"/>
      <c r="S111" s="49"/>
      <c r="T111" s="49"/>
      <c r="V111" s="49"/>
      <c r="W111" s="49"/>
      <c r="Y111" s="49"/>
      <c r="Z111" s="49"/>
    </row>
    <row r="112" customFormat="false" ht="15" hidden="false" customHeight="false" outlineLevel="0" collapsed="false">
      <c r="G112" s="49"/>
      <c r="H112" s="49"/>
      <c r="J112" s="49"/>
      <c r="K112" s="49"/>
      <c r="M112" s="49"/>
      <c r="N112" s="49"/>
      <c r="P112" s="49"/>
      <c r="Q112" s="49"/>
      <c r="S112" s="49"/>
      <c r="T112" s="49"/>
      <c r="V112" s="49"/>
      <c r="W112" s="49"/>
      <c r="Y112" s="49"/>
      <c r="Z112" s="49"/>
    </row>
    <row r="113" customFormat="false" ht="15" hidden="false" customHeight="false" outlineLevel="0" collapsed="false">
      <c r="G113" s="49"/>
      <c r="H113" s="49"/>
      <c r="J113" s="49"/>
      <c r="K113" s="49"/>
      <c r="M113" s="49"/>
      <c r="N113" s="49"/>
      <c r="P113" s="49"/>
      <c r="Q113" s="49"/>
      <c r="S113" s="49"/>
      <c r="T113" s="49"/>
      <c r="V113" s="49"/>
      <c r="W113" s="49"/>
      <c r="Y113" s="49"/>
      <c r="Z113" s="49"/>
    </row>
    <row r="114" customFormat="false" ht="15" hidden="false" customHeight="false" outlineLevel="0" collapsed="false">
      <c r="G114" s="49"/>
      <c r="H114" s="49"/>
      <c r="J114" s="49"/>
      <c r="K114" s="49"/>
      <c r="M114" s="49"/>
      <c r="N114" s="49"/>
      <c r="P114" s="49"/>
      <c r="Q114" s="49"/>
      <c r="S114" s="49"/>
      <c r="T114" s="49"/>
      <c r="V114" s="49"/>
      <c r="W114" s="49"/>
      <c r="Y114" s="49"/>
      <c r="Z114" s="49"/>
    </row>
    <row r="115" customFormat="false" ht="15" hidden="false" customHeight="false" outlineLevel="0" collapsed="false">
      <c r="G115" s="49"/>
      <c r="H115" s="49"/>
      <c r="J115" s="49"/>
      <c r="K115" s="49"/>
      <c r="M115" s="49"/>
      <c r="N115" s="49"/>
      <c r="P115" s="49"/>
      <c r="Q115" s="49"/>
      <c r="S115" s="49"/>
      <c r="T115" s="49"/>
      <c r="V115" s="49"/>
      <c r="W115" s="49"/>
      <c r="Y115" s="49"/>
      <c r="Z115" s="49"/>
    </row>
    <row r="116" customFormat="false" ht="15" hidden="false" customHeight="false" outlineLevel="0" collapsed="false">
      <c r="G116" s="49"/>
      <c r="H116" s="49"/>
      <c r="J116" s="49"/>
      <c r="K116" s="49"/>
      <c r="M116" s="49"/>
      <c r="N116" s="49"/>
      <c r="P116" s="49"/>
      <c r="Q116" s="49"/>
      <c r="S116" s="49"/>
      <c r="T116" s="49"/>
      <c r="V116" s="49"/>
      <c r="W116" s="49"/>
      <c r="Y116" s="49"/>
      <c r="Z116" s="49"/>
    </row>
    <row r="117" customFormat="false" ht="15" hidden="false" customHeight="false" outlineLevel="0" collapsed="false">
      <c r="G117" s="49"/>
      <c r="H117" s="49"/>
      <c r="J117" s="49"/>
      <c r="K117" s="49"/>
      <c r="M117" s="49"/>
      <c r="N117" s="49"/>
      <c r="P117" s="49"/>
      <c r="Q117" s="49"/>
      <c r="S117" s="49"/>
      <c r="T117" s="49"/>
      <c r="V117" s="49"/>
      <c r="W117" s="49"/>
      <c r="Y117" s="49"/>
      <c r="Z117" s="49"/>
    </row>
    <row r="118" customFormat="false" ht="15" hidden="false" customHeight="false" outlineLevel="0" collapsed="false">
      <c r="G118" s="49"/>
      <c r="H118" s="49"/>
      <c r="J118" s="49"/>
      <c r="K118" s="49"/>
      <c r="M118" s="49"/>
      <c r="N118" s="49"/>
      <c r="P118" s="49"/>
      <c r="Q118" s="49"/>
      <c r="S118" s="49"/>
      <c r="T118" s="49"/>
      <c r="V118" s="49"/>
      <c r="W118" s="49"/>
      <c r="Y118" s="49"/>
      <c r="Z118" s="49"/>
    </row>
    <row r="119" customFormat="false" ht="15" hidden="false" customHeight="false" outlineLevel="0" collapsed="false">
      <c r="G119" s="49"/>
      <c r="H119" s="49"/>
      <c r="J119" s="49"/>
      <c r="K119" s="49"/>
      <c r="M119" s="49"/>
      <c r="N119" s="49"/>
      <c r="P119" s="49"/>
      <c r="Q119" s="49"/>
      <c r="S119" s="49"/>
      <c r="T119" s="49"/>
      <c r="V119" s="49"/>
      <c r="W119" s="49"/>
      <c r="Y119" s="49"/>
      <c r="Z119" s="49"/>
    </row>
    <row r="120" customFormat="false" ht="15" hidden="false" customHeight="false" outlineLevel="0" collapsed="false">
      <c r="G120" s="49"/>
      <c r="H120" s="49"/>
      <c r="J120" s="49"/>
      <c r="K120" s="49"/>
      <c r="M120" s="49"/>
      <c r="N120" s="49"/>
      <c r="P120" s="49"/>
      <c r="Q120" s="49"/>
      <c r="S120" s="49"/>
      <c r="T120" s="49"/>
      <c r="V120" s="49"/>
      <c r="W120" s="49"/>
      <c r="Y120" s="49"/>
      <c r="Z120" s="49"/>
    </row>
    <row r="121" customFormat="false" ht="15" hidden="false" customHeight="false" outlineLevel="0" collapsed="false">
      <c r="G121" s="49"/>
      <c r="H121" s="49"/>
      <c r="J121" s="49"/>
      <c r="K121" s="49"/>
      <c r="M121" s="49"/>
      <c r="N121" s="49"/>
      <c r="P121" s="49"/>
      <c r="Q121" s="49"/>
      <c r="S121" s="49"/>
      <c r="T121" s="49"/>
      <c r="V121" s="49"/>
      <c r="W121" s="49"/>
      <c r="Y121" s="49"/>
      <c r="Z121" s="49"/>
    </row>
    <row r="122" customFormat="false" ht="15" hidden="false" customHeight="false" outlineLevel="0" collapsed="false">
      <c r="G122" s="49"/>
      <c r="H122" s="49"/>
      <c r="J122" s="49"/>
      <c r="K122" s="49"/>
      <c r="M122" s="49"/>
      <c r="N122" s="49"/>
      <c r="P122" s="49"/>
      <c r="Q122" s="49"/>
      <c r="S122" s="49"/>
      <c r="T122" s="49"/>
      <c r="V122" s="49"/>
      <c r="W122" s="49"/>
      <c r="Y122" s="49"/>
      <c r="Z122" s="49"/>
    </row>
    <row r="123" customFormat="false" ht="15" hidden="false" customHeight="false" outlineLevel="0" collapsed="false">
      <c r="G123" s="49"/>
      <c r="H123" s="49"/>
      <c r="J123" s="49"/>
      <c r="K123" s="49"/>
      <c r="M123" s="49"/>
      <c r="N123" s="49"/>
      <c r="P123" s="49"/>
      <c r="Q123" s="49"/>
      <c r="S123" s="49"/>
      <c r="T123" s="49"/>
      <c r="V123" s="49"/>
      <c r="W123" s="49"/>
      <c r="Y123" s="49"/>
      <c r="Z123" s="49"/>
    </row>
    <row r="124" customFormat="false" ht="15" hidden="false" customHeight="false" outlineLevel="0" collapsed="false">
      <c r="G124" s="49"/>
      <c r="H124" s="49"/>
      <c r="J124" s="49"/>
      <c r="K124" s="49"/>
      <c r="M124" s="49"/>
      <c r="N124" s="49"/>
      <c r="P124" s="49"/>
      <c r="Q124" s="49"/>
      <c r="S124" s="49"/>
      <c r="T124" s="49"/>
      <c r="V124" s="49"/>
      <c r="W124" s="49"/>
      <c r="Y124" s="49"/>
      <c r="Z124" s="49"/>
    </row>
    <row r="125" customFormat="false" ht="15" hidden="false" customHeight="false" outlineLevel="0" collapsed="false">
      <c r="G125" s="49"/>
      <c r="H125" s="49"/>
      <c r="J125" s="49"/>
      <c r="K125" s="49"/>
      <c r="M125" s="49"/>
      <c r="N125" s="49"/>
      <c r="P125" s="49"/>
      <c r="Q125" s="49"/>
      <c r="S125" s="49"/>
      <c r="T125" s="49"/>
      <c r="V125" s="49"/>
      <c r="W125" s="49"/>
      <c r="Y125" s="49"/>
      <c r="Z125" s="49"/>
    </row>
    <row r="126" customFormat="false" ht="15" hidden="false" customHeight="false" outlineLevel="0" collapsed="false">
      <c r="G126" s="49"/>
      <c r="H126" s="49"/>
      <c r="J126" s="49"/>
      <c r="K126" s="49"/>
      <c r="M126" s="49"/>
      <c r="N126" s="49"/>
      <c r="P126" s="49"/>
      <c r="Q126" s="49"/>
      <c r="S126" s="49"/>
      <c r="T126" s="49"/>
      <c r="V126" s="49"/>
      <c r="W126" s="49"/>
      <c r="Y126" s="49"/>
      <c r="Z126" s="49"/>
    </row>
    <row r="127" customFormat="false" ht="15" hidden="false" customHeight="false" outlineLevel="0" collapsed="false">
      <c r="G127" s="49"/>
      <c r="H127" s="49"/>
      <c r="J127" s="49"/>
      <c r="K127" s="49"/>
      <c r="M127" s="49"/>
      <c r="N127" s="49"/>
      <c r="P127" s="49"/>
      <c r="Q127" s="49"/>
      <c r="S127" s="49"/>
      <c r="T127" s="49"/>
      <c r="V127" s="49"/>
      <c r="W127" s="49"/>
      <c r="Y127" s="49"/>
      <c r="Z127" s="49"/>
    </row>
    <row r="128" customFormat="false" ht="15" hidden="false" customHeight="false" outlineLevel="0" collapsed="false">
      <c r="G128" s="49"/>
      <c r="H128" s="49"/>
      <c r="J128" s="49"/>
      <c r="K128" s="49"/>
      <c r="M128" s="49"/>
      <c r="N128" s="49"/>
      <c r="P128" s="49"/>
      <c r="Q128" s="49"/>
      <c r="S128" s="49"/>
      <c r="T128" s="49"/>
      <c r="V128" s="49"/>
      <c r="W128" s="49"/>
      <c r="Y128" s="49"/>
      <c r="Z128" s="49"/>
    </row>
    <row r="129" customFormat="false" ht="15" hidden="false" customHeight="false" outlineLevel="0" collapsed="false">
      <c r="G129" s="49"/>
      <c r="H129" s="49"/>
      <c r="J129" s="49"/>
      <c r="K129" s="49"/>
      <c r="M129" s="49"/>
      <c r="N129" s="49"/>
      <c r="P129" s="49"/>
      <c r="Q129" s="49"/>
      <c r="S129" s="49"/>
      <c r="T129" s="49"/>
      <c r="V129" s="49"/>
      <c r="W129" s="49"/>
      <c r="Y129" s="49"/>
      <c r="Z129" s="49"/>
    </row>
    <row r="130" customFormat="false" ht="15" hidden="false" customHeight="false" outlineLevel="0" collapsed="false">
      <c r="G130" s="49"/>
      <c r="H130" s="49"/>
      <c r="J130" s="49"/>
      <c r="K130" s="49"/>
      <c r="M130" s="49"/>
      <c r="N130" s="49"/>
      <c r="P130" s="49"/>
      <c r="Q130" s="49"/>
      <c r="S130" s="49"/>
      <c r="T130" s="49"/>
      <c r="V130" s="49"/>
      <c r="W130" s="49"/>
      <c r="Y130" s="49"/>
      <c r="Z130" s="49"/>
    </row>
    <row r="131" customFormat="false" ht="15" hidden="false" customHeight="false" outlineLevel="0" collapsed="false">
      <c r="G131" s="49"/>
      <c r="H131" s="49"/>
      <c r="J131" s="49"/>
      <c r="K131" s="49"/>
      <c r="M131" s="49"/>
      <c r="N131" s="49"/>
      <c r="P131" s="49"/>
      <c r="Q131" s="49"/>
      <c r="S131" s="49"/>
      <c r="T131" s="49"/>
      <c r="V131" s="49"/>
      <c r="W131" s="49"/>
      <c r="Y131" s="49"/>
      <c r="Z131" s="49"/>
    </row>
    <row r="132" customFormat="false" ht="15" hidden="false" customHeight="false" outlineLevel="0" collapsed="false">
      <c r="G132" s="49"/>
      <c r="H132" s="49"/>
      <c r="J132" s="49"/>
      <c r="K132" s="49"/>
      <c r="M132" s="49"/>
      <c r="N132" s="49"/>
      <c r="P132" s="49"/>
      <c r="Q132" s="49"/>
      <c r="S132" s="49"/>
      <c r="T132" s="49"/>
      <c r="V132" s="49"/>
      <c r="W132" s="49"/>
      <c r="Y132" s="49"/>
      <c r="Z132" s="49"/>
    </row>
    <row r="133" customFormat="false" ht="15" hidden="false" customHeight="false" outlineLevel="0" collapsed="false">
      <c r="G133" s="49"/>
      <c r="H133" s="49"/>
      <c r="J133" s="49"/>
      <c r="K133" s="49"/>
      <c r="M133" s="49"/>
      <c r="N133" s="49"/>
      <c r="P133" s="49"/>
      <c r="Q133" s="49"/>
      <c r="S133" s="49"/>
      <c r="T133" s="49"/>
      <c r="V133" s="49"/>
      <c r="W133" s="49"/>
      <c r="Y133" s="49"/>
      <c r="Z133" s="49"/>
    </row>
    <row r="134" customFormat="false" ht="15" hidden="false" customHeight="false" outlineLevel="0" collapsed="false">
      <c r="G134" s="49"/>
      <c r="H134" s="49"/>
      <c r="J134" s="49"/>
      <c r="K134" s="49"/>
      <c r="M134" s="49"/>
      <c r="N134" s="49"/>
      <c r="P134" s="49"/>
      <c r="Q134" s="49"/>
      <c r="S134" s="49"/>
      <c r="T134" s="49"/>
      <c r="V134" s="49"/>
      <c r="W134" s="49"/>
      <c r="Y134" s="49"/>
      <c r="Z134" s="49"/>
    </row>
    <row r="135" customFormat="false" ht="15" hidden="false" customHeight="false" outlineLevel="0" collapsed="false">
      <c r="G135" s="49"/>
      <c r="H135" s="49"/>
      <c r="J135" s="49"/>
      <c r="K135" s="49"/>
      <c r="M135" s="49"/>
      <c r="N135" s="49"/>
      <c r="P135" s="49"/>
      <c r="Q135" s="49"/>
      <c r="S135" s="49"/>
      <c r="T135" s="49"/>
      <c r="V135" s="49"/>
      <c r="W135" s="49"/>
      <c r="Y135" s="49"/>
      <c r="Z135" s="49"/>
    </row>
    <row r="136" customFormat="false" ht="15" hidden="false" customHeight="false" outlineLevel="0" collapsed="false">
      <c r="G136" s="49"/>
      <c r="H136" s="49"/>
      <c r="J136" s="49"/>
      <c r="K136" s="49"/>
      <c r="M136" s="49"/>
      <c r="N136" s="49"/>
      <c r="P136" s="49"/>
      <c r="Q136" s="49"/>
      <c r="S136" s="49"/>
      <c r="T136" s="49"/>
      <c r="V136" s="49"/>
      <c r="W136" s="49"/>
      <c r="Y136" s="49"/>
      <c r="Z136" s="49"/>
    </row>
    <row r="137" customFormat="false" ht="15" hidden="false" customHeight="false" outlineLevel="0" collapsed="false">
      <c r="G137" s="49"/>
      <c r="H137" s="49"/>
      <c r="J137" s="49"/>
      <c r="K137" s="49"/>
      <c r="M137" s="49"/>
      <c r="N137" s="49"/>
      <c r="P137" s="49"/>
      <c r="Q137" s="49"/>
      <c r="S137" s="49"/>
      <c r="T137" s="49"/>
      <c r="V137" s="49"/>
      <c r="W137" s="49"/>
      <c r="Y137" s="49"/>
      <c r="Z137" s="49"/>
    </row>
    <row r="138" customFormat="false" ht="15" hidden="false" customHeight="false" outlineLevel="0" collapsed="false">
      <c r="G138" s="49"/>
      <c r="H138" s="49"/>
      <c r="J138" s="49"/>
      <c r="K138" s="49"/>
      <c r="M138" s="49"/>
      <c r="N138" s="49"/>
      <c r="P138" s="49"/>
      <c r="Q138" s="49"/>
      <c r="S138" s="49"/>
      <c r="T138" s="49"/>
      <c r="V138" s="49"/>
      <c r="W138" s="49"/>
      <c r="Y138" s="49"/>
      <c r="Z138" s="49"/>
    </row>
    <row r="139" customFormat="false" ht="15" hidden="false" customHeight="false" outlineLevel="0" collapsed="false">
      <c r="G139" s="49"/>
      <c r="H139" s="49"/>
      <c r="J139" s="49"/>
      <c r="K139" s="49"/>
      <c r="M139" s="49"/>
      <c r="N139" s="49"/>
      <c r="P139" s="49"/>
      <c r="Q139" s="49"/>
      <c r="S139" s="49"/>
      <c r="T139" s="49"/>
      <c r="V139" s="49"/>
      <c r="W139" s="49"/>
      <c r="Y139" s="49"/>
      <c r="Z139" s="49"/>
    </row>
    <row r="140" customFormat="false" ht="15" hidden="false" customHeight="false" outlineLevel="0" collapsed="false">
      <c r="G140" s="49"/>
      <c r="H140" s="49"/>
      <c r="J140" s="49"/>
      <c r="K140" s="49"/>
      <c r="M140" s="49"/>
      <c r="N140" s="49"/>
      <c r="P140" s="49"/>
      <c r="Q140" s="49"/>
      <c r="S140" s="49"/>
      <c r="T140" s="49"/>
      <c r="V140" s="49"/>
      <c r="W140" s="49"/>
      <c r="Y140" s="49"/>
      <c r="Z140" s="49"/>
    </row>
    <row r="141" customFormat="false" ht="15" hidden="false" customHeight="false" outlineLevel="0" collapsed="false">
      <c r="G141" s="49"/>
      <c r="H141" s="49"/>
      <c r="J141" s="49"/>
      <c r="K141" s="49"/>
      <c r="M141" s="49"/>
      <c r="N141" s="49"/>
      <c r="P141" s="49"/>
      <c r="Q141" s="49"/>
      <c r="S141" s="49"/>
      <c r="T141" s="49"/>
      <c r="V141" s="49"/>
      <c r="W141" s="49"/>
      <c r="Y141" s="49"/>
      <c r="Z141" s="49"/>
    </row>
    <row r="142" customFormat="false" ht="15" hidden="false" customHeight="false" outlineLevel="0" collapsed="false">
      <c r="G142" s="49"/>
      <c r="H142" s="49"/>
      <c r="J142" s="49"/>
      <c r="K142" s="49"/>
      <c r="M142" s="49"/>
      <c r="N142" s="49"/>
      <c r="P142" s="49"/>
      <c r="Q142" s="49"/>
      <c r="S142" s="49"/>
      <c r="T142" s="49"/>
      <c r="V142" s="49"/>
      <c r="W142" s="49"/>
      <c r="Y142" s="49"/>
      <c r="Z142" s="49"/>
    </row>
    <row r="143" customFormat="false" ht="15" hidden="false" customHeight="false" outlineLevel="0" collapsed="false">
      <c r="G143" s="49"/>
      <c r="H143" s="49"/>
      <c r="J143" s="49"/>
      <c r="K143" s="49"/>
      <c r="M143" s="49"/>
      <c r="N143" s="49"/>
      <c r="P143" s="49"/>
      <c r="Q143" s="49"/>
      <c r="S143" s="49"/>
      <c r="T143" s="49"/>
      <c r="V143" s="49"/>
      <c r="W143" s="49"/>
      <c r="Y143" s="49"/>
      <c r="Z143" s="49"/>
    </row>
    <row r="144" customFormat="false" ht="15" hidden="false" customHeight="false" outlineLevel="0" collapsed="false">
      <c r="G144" s="49"/>
      <c r="H144" s="49"/>
      <c r="J144" s="49"/>
      <c r="K144" s="49"/>
      <c r="M144" s="49"/>
      <c r="N144" s="49"/>
      <c r="P144" s="49"/>
      <c r="Q144" s="49"/>
      <c r="S144" s="49"/>
      <c r="T144" s="49"/>
      <c r="V144" s="49"/>
      <c r="W144" s="49"/>
      <c r="Y144" s="49"/>
      <c r="Z144" s="49"/>
    </row>
    <row r="145" customFormat="false" ht="15" hidden="false" customHeight="false" outlineLevel="0" collapsed="false">
      <c r="G145" s="49"/>
      <c r="H145" s="49"/>
      <c r="J145" s="49"/>
      <c r="K145" s="49"/>
      <c r="M145" s="49"/>
      <c r="N145" s="49"/>
      <c r="P145" s="49"/>
      <c r="Q145" s="49"/>
      <c r="S145" s="49"/>
      <c r="T145" s="49"/>
      <c r="V145" s="49"/>
      <c r="W145" s="49"/>
      <c r="Y145" s="49"/>
      <c r="Z145" s="49"/>
    </row>
    <row r="146" customFormat="false" ht="15" hidden="false" customHeight="false" outlineLevel="0" collapsed="false">
      <c r="G146" s="49"/>
      <c r="H146" s="49"/>
      <c r="J146" s="49"/>
      <c r="K146" s="49"/>
      <c r="M146" s="49"/>
      <c r="N146" s="49"/>
      <c r="P146" s="49"/>
      <c r="Q146" s="49"/>
      <c r="S146" s="49"/>
      <c r="T146" s="49"/>
      <c r="V146" s="49"/>
      <c r="W146" s="49"/>
      <c r="Y146" s="49"/>
      <c r="Z146" s="49"/>
    </row>
    <row r="147" customFormat="false" ht="15" hidden="false" customHeight="false" outlineLevel="0" collapsed="false">
      <c r="G147" s="49"/>
      <c r="H147" s="49"/>
      <c r="J147" s="49"/>
      <c r="K147" s="49"/>
      <c r="M147" s="49"/>
      <c r="N147" s="49"/>
      <c r="P147" s="49"/>
      <c r="Q147" s="49"/>
      <c r="S147" s="49"/>
      <c r="T147" s="49"/>
      <c r="V147" s="49"/>
      <c r="W147" s="49"/>
      <c r="Y147" s="49"/>
      <c r="Z147" s="49"/>
    </row>
    <row r="148" customFormat="false" ht="15" hidden="false" customHeight="false" outlineLevel="0" collapsed="false">
      <c r="G148" s="49"/>
      <c r="H148" s="49"/>
      <c r="J148" s="49"/>
      <c r="K148" s="49"/>
      <c r="M148" s="49"/>
      <c r="N148" s="49"/>
      <c r="P148" s="49"/>
      <c r="Q148" s="49"/>
      <c r="S148" s="49"/>
      <c r="T148" s="49"/>
      <c r="V148" s="49"/>
      <c r="W148" s="49"/>
      <c r="Y148" s="49"/>
      <c r="Z148" s="49"/>
    </row>
    <row r="149" customFormat="false" ht="15" hidden="false" customHeight="false" outlineLevel="0" collapsed="false">
      <c r="G149" s="49"/>
      <c r="H149" s="49"/>
      <c r="J149" s="49"/>
      <c r="K149" s="49"/>
      <c r="M149" s="49"/>
      <c r="N149" s="49"/>
      <c r="P149" s="49"/>
      <c r="Q149" s="49"/>
      <c r="S149" s="49"/>
      <c r="T149" s="49"/>
      <c r="V149" s="49"/>
      <c r="W149" s="49"/>
      <c r="Y149" s="49"/>
      <c r="Z149" s="49"/>
    </row>
    <row r="150" customFormat="false" ht="15" hidden="false" customHeight="false" outlineLevel="0" collapsed="false">
      <c r="G150" s="49"/>
      <c r="H150" s="49"/>
      <c r="J150" s="49"/>
      <c r="K150" s="49"/>
      <c r="M150" s="49"/>
      <c r="N150" s="49"/>
      <c r="P150" s="49"/>
      <c r="Q150" s="49"/>
      <c r="S150" s="49"/>
      <c r="T150" s="49"/>
      <c r="V150" s="49"/>
      <c r="W150" s="49"/>
      <c r="Y150" s="49"/>
      <c r="Z150" s="49"/>
    </row>
    <row r="151" customFormat="false" ht="15" hidden="false" customHeight="false" outlineLevel="0" collapsed="false">
      <c r="G151" s="49"/>
      <c r="H151" s="49"/>
      <c r="J151" s="49"/>
      <c r="K151" s="49"/>
      <c r="M151" s="49"/>
      <c r="N151" s="49"/>
      <c r="P151" s="49"/>
      <c r="Q151" s="49"/>
      <c r="S151" s="49"/>
      <c r="T151" s="49"/>
      <c r="V151" s="49"/>
      <c r="W151" s="49"/>
      <c r="Y151" s="49"/>
      <c r="Z151" s="49"/>
    </row>
    <row r="152" customFormat="false" ht="15" hidden="false" customHeight="false" outlineLevel="0" collapsed="false">
      <c r="G152" s="49"/>
      <c r="H152" s="49"/>
      <c r="J152" s="49"/>
      <c r="K152" s="49"/>
      <c r="M152" s="49"/>
      <c r="N152" s="49"/>
      <c r="P152" s="49"/>
      <c r="Q152" s="49"/>
      <c r="S152" s="49"/>
      <c r="T152" s="49"/>
      <c r="V152" s="49"/>
      <c r="W152" s="49"/>
      <c r="Y152" s="49"/>
      <c r="Z152" s="49"/>
    </row>
    <row r="153" customFormat="false" ht="15" hidden="false" customHeight="false" outlineLevel="0" collapsed="false">
      <c r="G153" s="49"/>
      <c r="H153" s="49"/>
      <c r="J153" s="49"/>
      <c r="K153" s="49"/>
      <c r="M153" s="49"/>
      <c r="N153" s="49"/>
      <c r="P153" s="49"/>
      <c r="Q153" s="49"/>
      <c r="S153" s="49"/>
      <c r="T153" s="49"/>
      <c r="V153" s="49"/>
      <c r="W153" s="49"/>
      <c r="Y153" s="49"/>
      <c r="Z153" s="49"/>
    </row>
    <row r="154" customFormat="false" ht="15" hidden="false" customHeight="false" outlineLevel="0" collapsed="false">
      <c r="G154" s="49"/>
      <c r="H154" s="49"/>
      <c r="J154" s="49"/>
      <c r="K154" s="49"/>
      <c r="M154" s="49"/>
      <c r="N154" s="49"/>
      <c r="P154" s="49"/>
      <c r="Q154" s="49"/>
      <c r="S154" s="49"/>
      <c r="T154" s="49"/>
      <c r="V154" s="49"/>
      <c r="W154" s="49"/>
      <c r="Y154" s="49"/>
      <c r="Z154" s="49"/>
    </row>
    <row r="155" customFormat="false" ht="15" hidden="false" customHeight="false" outlineLevel="0" collapsed="false">
      <c r="G155" s="49"/>
      <c r="H155" s="49"/>
      <c r="J155" s="49"/>
      <c r="K155" s="49"/>
      <c r="M155" s="49"/>
      <c r="N155" s="49"/>
      <c r="P155" s="49"/>
      <c r="Q155" s="49"/>
      <c r="S155" s="49"/>
      <c r="T155" s="49"/>
      <c r="V155" s="49"/>
      <c r="W155" s="49"/>
      <c r="Y155" s="49"/>
      <c r="Z155" s="49"/>
    </row>
    <row r="156" customFormat="false" ht="15" hidden="false" customHeight="false" outlineLevel="0" collapsed="false">
      <c r="G156" s="49"/>
      <c r="H156" s="49"/>
      <c r="J156" s="49"/>
      <c r="K156" s="49"/>
      <c r="M156" s="49"/>
      <c r="N156" s="49"/>
      <c r="P156" s="49"/>
      <c r="Q156" s="49"/>
      <c r="S156" s="49"/>
      <c r="T156" s="49"/>
      <c r="V156" s="49"/>
      <c r="W156" s="49"/>
      <c r="Y156" s="49"/>
      <c r="Z156" s="49"/>
    </row>
    <row r="157" customFormat="false" ht="15" hidden="false" customHeight="false" outlineLevel="0" collapsed="false">
      <c r="G157" s="49"/>
      <c r="H157" s="49"/>
      <c r="J157" s="49"/>
      <c r="K157" s="49"/>
      <c r="M157" s="49"/>
      <c r="N157" s="49"/>
      <c r="P157" s="49"/>
      <c r="Q157" s="49"/>
      <c r="S157" s="49"/>
      <c r="T157" s="49"/>
      <c r="V157" s="49"/>
      <c r="W157" s="49"/>
      <c r="Y157" s="49"/>
      <c r="Z157" s="49"/>
    </row>
    <row r="158" customFormat="false" ht="15" hidden="false" customHeight="false" outlineLevel="0" collapsed="false">
      <c r="G158" s="49"/>
      <c r="H158" s="49"/>
      <c r="J158" s="49"/>
      <c r="K158" s="49"/>
      <c r="M158" s="49"/>
      <c r="N158" s="49"/>
      <c r="P158" s="49"/>
      <c r="Q158" s="49"/>
      <c r="S158" s="49"/>
      <c r="T158" s="49"/>
      <c r="V158" s="49"/>
      <c r="W158" s="49"/>
      <c r="Y158" s="49"/>
      <c r="Z158" s="49"/>
    </row>
    <row r="159" customFormat="false" ht="15" hidden="false" customHeight="false" outlineLevel="0" collapsed="false">
      <c r="G159" s="49"/>
      <c r="H159" s="49"/>
      <c r="J159" s="49"/>
      <c r="K159" s="49"/>
      <c r="M159" s="49"/>
      <c r="N159" s="49"/>
      <c r="P159" s="49"/>
      <c r="Q159" s="49"/>
      <c r="S159" s="49"/>
      <c r="T159" s="49"/>
      <c r="V159" s="49"/>
      <c r="W159" s="49"/>
      <c r="Y159" s="49"/>
      <c r="Z159" s="49"/>
    </row>
    <row r="160" customFormat="false" ht="15" hidden="false" customHeight="false" outlineLevel="0" collapsed="false">
      <c r="G160" s="49"/>
      <c r="H160" s="49"/>
      <c r="J160" s="49"/>
      <c r="K160" s="49"/>
      <c r="M160" s="49"/>
      <c r="N160" s="49"/>
      <c r="P160" s="49"/>
      <c r="Q160" s="49"/>
      <c r="S160" s="49"/>
      <c r="T160" s="49"/>
      <c r="V160" s="49"/>
      <c r="W160" s="49"/>
      <c r="Y160" s="49"/>
      <c r="Z160" s="49"/>
    </row>
    <row r="161" customFormat="false" ht="15" hidden="false" customHeight="false" outlineLevel="0" collapsed="false">
      <c r="G161" s="49"/>
      <c r="H161" s="49"/>
      <c r="J161" s="49"/>
      <c r="K161" s="49"/>
      <c r="M161" s="49"/>
      <c r="N161" s="49"/>
      <c r="P161" s="49"/>
      <c r="Q161" s="49"/>
      <c r="S161" s="49"/>
      <c r="T161" s="49"/>
      <c r="V161" s="49"/>
      <c r="W161" s="49"/>
      <c r="Y161" s="49"/>
      <c r="Z161" s="49"/>
    </row>
    <row r="162" customFormat="false" ht="15" hidden="false" customHeight="false" outlineLevel="0" collapsed="false">
      <c r="G162" s="49"/>
      <c r="H162" s="49"/>
      <c r="J162" s="49"/>
      <c r="K162" s="49"/>
      <c r="M162" s="49"/>
      <c r="N162" s="49"/>
      <c r="P162" s="49"/>
      <c r="Q162" s="49"/>
      <c r="S162" s="49"/>
      <c r="T162" s="49"/>
      <c r="V162" s="49"/>
      <c r="W162" s="49"/>
      <c r="Y162" s="49"/>
      <c r="Z162" s="49"/>
    </row>
    <row r="163" customFormat="false" ht="15" hidden="false" customHeight="false" outlineLevel="0" collapsed="false">
      <c r="G163" s="49"/>
      <c r="H163" s="49"/>
      <c r="J163" s="49"/>
      <c r="K163" s="49"/>
      <c r="M163" s="49"/>
      <c r="N163" s="49"/>
      <c r="P163" s="49"/>
      <c r="Q163" s="49"/>
      <c r="S163" s="49"/>
      <c r="T163" s="49"/>
      <c r="V163" s="49"/>
      <c r="W163" s="49"/>
      <c r="Y163" s="49"/>
      <c r="Z163" s="49"/>
    </row>
    <row r="164" customFormat="false" ht="15" hidden="false" customHeight="false" outlineLevel="0" collapsed="false">
      <c r="G164" s="49"/>
      <c r="H164" s="49"/>
      <c r="J164" s="49"/>
      <c r="K164" s="49"/>
      <c r="M164" s="49"/>
      <c r="N164" s="49"/>
      <c r="P164" s="49"/>
      <c r="Q164" s="49"/>
      <c r="S164" s="49"/>
      <c r="T164" s="49"/>
      <c r="V164" s="49"/>
      <c r="W164" s="49"/>
      <c r="Y164" s="49"/>
      <c r="Z164" s="49"/>
    </row>
    <row r="165" customFormat="false" ht="15" hidden="false" customHeight="false" outlineLevel="0" collapsed="false">
      <c r="G165" s="49"/>
      <c r="H165" s="49"/>
      <c r="J165" s="49"/>
      <c r="K165" s="49"/>
      <c r="M165" s="49"/>
      <c r="N165" s="49"/>
      <c r="P165" s="49"/>
      <c r="Q165" s="49"/>
      <c r="S165" s="49"/>
      <c r="T165" s="49"/>
      <c r="V165" s="49"/>
      <c r="W165" s="49"/>
      <c r="Y165" s="49"/>
      <c r="Z165" s="49"/>
    </row>
    <row r="166" customFormat="false" ht="15" hidden="false" customHeight="false" outlineLevel="0" collapsed="false">
      <c r="G166" s="49"/>
      <c r="H166" s="49"/>
      <c r="J166" s="49"/>
      <c r="K166" s="49"/>
      <c r="M166" s="49"/>
      <c r="N166" s="49"/>
      <c r="P166" s="49"/>
      <c r="Q166" s="49"/>
      <c r="S166" s="49"/>
      <c r="T166" s="49"/>
      <c r="V166" s="49"/>
      <c r="W166" s="49"/>
      <c r="Y166" s="49"/>
      <c r="Z166" s="49"/>
    </row>
    <row r="167" customFormat="false" ht="15" hidden="false" customHeight="false" outlineLevel="0" collapsed="false">
      <c r="G167" s="49"/>
      <c r="H167" s="49"/>
      <c r="J167" s="49"/>
      <c r="K167" s="49"/>
      <c r="M167" s="49"/>
      <c r="N167" s="49"/>
      <c r="P167" s="49"/>
      <c r="Q167" s="49"/>
      <c r="S167" s="49"/>
      <c r="T167" s="49"/>
      <c r="V167" s="49"/>
      <c r="W167" s="49"/>
      <c r="Y167" s="49"/>
      <c r="Z167" s="49"/>
    </row>
    <row r="168" customFormat="false" ht="15" hidden="false" customHeight="false" outlineLevel="0" collapsed="false">
      <c r="G168" s="49"/>
      <c r="H168" s="49"/>
      <c r="J168" s="49"/>
      <c r="K168" s="49"/>
      <c r="M168" s="49"/>
      <c r="N168" s="49"/>
      <c r="P168" s="49"/>
      <c r="Q168" s="49"/>
      <c r="S168" s="49"/>
      <c r="T168" s="49"/>
      <c r="V168" s="49"/>
      <c r="W168" s="49"/>
      <c r="Y168" s="49"/>
      <c r="Z168" s="49"/>
    </row>
    <row r="169" customFormat="false" ht="15" hidden="false" customHeight="false" outlineLevel="0" collapsed="false">
      <c r="G169" s="49"/>
      <c r="H169" s="49"/>
      <c r="J169" s="49"/>
      <c r="K169" s="49"/>
      <c r="M169" s="49"/>
      <c r="N169" s="49"/>
      <c r="P169" s="49"/>
      <c r="Q169" s="49"/>
      <c r="S169" s="49"/>
      <c r="T169" s="49"/>
      <c r="V169" s="49"/>
      <c r="W169" s="49"/>
      <c r="Y169" s="49"/>
      <c r="Z169" s="49"/>
    </row>
    <row r="170" customFormat="false" ht="15" hidden="false" customHeight="false" outlineLevel="0" collapsed="false">
      <c r="G170" s="49"/>
      <c r="H170" s="49"/>
      <c r="J170" s="49"/>
      <c r="K170" s="49"/>
      <c r="M170" s="49"/>
      <c r="N170" s="49"/>
      <c r="P170" s="49"/>
      <c r="Q170" s="49"/>
      <c r="S170" s="49"/>
      <c r="T170" s="49"/>
      <c r="V170" s="49"/>
      <c r="W170" s="49"/>
      <c r="Y170" s="49"/>
      <c r="Z170" s="49"/>
    </row>
    <row r="171" customFormat="false" ht="15" hidden="false" customHeight="false" outlineLevel="0" collapsed="false">
      <c r="G171" s="49"/>
      <c r="H171" s="49"/>
      <c r="J171" s="49"/>
      <c r="K171" s="49"/>
      <c r="M171" s="49"/>
      <c r="N171" s="49"/>
      <c r="P171" s="49"/>
      <c r="Q171" s="49"/>
      <c r="S171" s="49"/>
      <c r="T171" s="49"/>
      <c r="V171" s="49"/>
      <c r="W171" s="49"/>
      <c r="Y171" s="49"/>
      <c r="Z171" s="49"/>
    </row>
    <row r="172" customFormat="false" ht="15" hidden="false" customHeight="false" outlineLevel="0" collapsed="false">
      <c r="G172" s="49"/>
      <c r="H172" s="49"/>
      <c r="J172" s="49"/>
      <c r="K172" s="49"/>
      <c r="M172" s="49"/>
      <c r="N172" s="49"/>
      <c r="P172" s="49"/>
      <c r="Q172" s="49"/>
      <c r="S172" s="49"/>
      <c r="T172" s="49"/>
      <c r="V172" s="49"/>
      <c r="W172" s="49"/>
      <c r="Y172" s="49"/>
      <c r="Z172" s="49"/>
    </row>
    <row r="173" customFormat="false" ht="15" hidden="false" customHeight="false" outlineLevel="0" collapsed="false">
      <c r="G173" s="49"/>
      <c r="H173" s="49"/>
      <c r="J173" s="49"/>
      <c r="K173" s="49"/>
      <c r="M173" s="49"/>
      <c r="N173" s="49"/>
      <c r="P173" s="49"/>
      <c r="Q173" s="49"/>
      <c r="S173" s="49"/>
      <c r="T173" s="49"/>
      <c r="V173" s="49"/>
      <c r="W173" s="49"/>
      <c r="Y173" s="49"/>
      <c r="Z173" s="49"/>
    </row>
    <row r="174" customFormat="false" ht="15" hidden="false" customHeight="false" outlineLevel="0" collapsed="false">
      <c r="G174" s="49"/>
      <c r="H174" s="49"/>
      <c r="J174" s="49"/>
      <c r="K174" s="49"/>
      <c r="M174" s="49"/>
      <c r="N174" s="49"/>
      <c r="P174" s="49"/>
      <c r="Q174" s="49"/>
      <c r="S174" s="49"/>
      <c r="T174" s="49"/>
      <c r="V174" s="49"/>
      <c r="W174" s="49"/>
      <c r="Y174" s="49"/>
      <c r="Z174" s="49"/>
    </row>
    <row r="175" customFormat="false" ht="15" hidden="false" customHeight="false" outlineLevel="0" collapsed="false">
      <c r="G175" s="49"/>
      <c r="H175" s="49"/>
      <c r="J175" s="49"/>
      <c r="K175" s="49"/>
      <c r="M175" s="49"/>
      <c r="N175" s="49"/>
      <c r="P175" s="49"/>
      <c r="Q175" s="49"/>
      <c r="S175" s="49"/>
      <c r="T175" s="49"/>
      <c r="V175" s="49"/>
      <c r="W175" s="49"/>
      <c r="Y175" s="49"/>
      <c r="Z175" s="49"/>
    </row>
    <row r="176" customFormat="false" ht="15" hidden="false" customHeight="false" outlineLevel="0" collapsed="false">
      <c r="G176" s="49"/>
      <c r="H176" s="49"/>
      <c r="J176" s="49"/>
      <c r="K176" s="49"/>
      <c r="M176" s="49"/>
      <c r="N176" s="49"/>
      <c r="P176" s="49"/>
      <c r="Q176" s="49"/>
      <c r="S176" s="49"/>
      <c r="T176" s="49"/>
      <c r="V176" s="49"/>
      <c r="W176" s="49"/>
      <c r="Y176" s="49"/>
      <c r="Z176" s="49"/>
    </row>
    <row r="177" customFormat="false" ht="15" hidden="false" customHeight="false" outlineLevel="0" collapsed="false">
      <c r="G177" s="49"/>
      <c r="H177" s="49"/>
      <c r="J177" s="49"/>
      <c r="K177" s="49"/>
      <c r="M177" s="49"/>
      <c r="N177" s="49"/>
      <c r="P177" s="49"/>
      <c r="Q177" s="49"/>
      <c r="S177" s="49"/>
      <c r="T177" s="49"/>
      <c r="V177" s="49"/>
      <c r="W177" s="49"/>
      <c r="Y177" s="49"/>
      <c r="Z177" s="49"/>
    </row>
    <row r="178" customFormat="false" ht="15" hidden="false" customHeight="false" outlineLevel="0" collapsed="false">
      <c r="G178" s="49"/>
      <c r="H178" s="49"/>
      <c r="J178" s="49"/>
      <c r="K178" s="49"/>
      <c r="M178" s="49"/>
      <c r="N178" s="49"/>
      <c r="P178" s="49"/>
      <c r="Q178" s="49"/>
      <c r="S178" s="49"/>
      <c r="T178" s="49"/>
      <c r="V178" s="49"/>
      <c r="W178" s="49"/>
      <c r="Y178" s="49"/>
      <c r="Z178" s="49"/>
    </row>
    <row r="179" customFormat="false" ht="15" hidden="false" customHeight="false" outlineLevel="0" collapsed="false">
      <c r="G179" s="49"/>
      <c r="H179" s="49"/>
      <c r="J179" s="49"/>
      <c r="K179" s="49"/>
      <c r="M179" s="49"/>
      <c r="N179" s="49"/>
      <c r="P179" s="49"/>
      <c r="Q179" s="49"/>
      <c r="S179" s="49"/>
      <c r="T179" s="49"/>
      <c r="V179" s="49"/>
      <c r="W179" s="49"/>
      <c r="Y179" s="49"/>
      <c r="Z179" s="49"/>
    </row>
    <row r="180" customFormat="false" ht="15" hidden="false" customHeight="false" outlineLevel="0" collapsed="false">
      <c r="G180" s="49"/>
      <c r="H180" s="49"/>
      <c r="J180" s="49"/>
      <c r="K180" s="49"/>
      <c r="M180" s="49"/>
      <c r="N180" s="49"/>
      <c r="P180" s="49"/>
      <c r="Q180" s="49"/>
      <c r="S180" s="49"/>
      <c r="T180" s="49"/>
      <c r="V180" s="49"/>
      <c r="W180" s="49"/>
      <c r="Y180" s="49"/>
      <c r="Z180" s="49"/>
    </row>
    <row r="181" customFormat="false" ht="15" hidden="false" customHeight="false" outlineLevel="0" collapsed="false">
      <c r="G181" s="49"/>
      <c r="H181" s="49"/>
      <c r="J181" s="49"/>
      <c r="K181" s="49"/>
      <c r="M181" s="49"/>
      <c r="N181" s="49"/>
      <c r="P181" s="49"/>
      <c r="Q181" s="49"/>
      <c r="S181" s="49"/>
      <c r="T181" s="49"/>
      <c r="V181" s="49"/>
      <c r="W181" s="49"/>
      <c r="Y181" s="49"/>
      <c r="Z181" s="49"/>
    </row>
    <row r="182" customFormat="false" ht="15" hidden="false" customHeight="false" outlineLevel="0" collapsed="false">
      <c r="G182" s="49"/>
      <c r="H182" s="49"/>
      <c r="J182" s="49"/>
      <c r="K182" s="49"/>
      <c r="M182" s="49"/>
      <c r="N182" s="49"/>
      <c r="P182" s="49"/>
      <c r="Q182" s="49"/>
      <c r="S182" s="49"/>
      <c r="T182" s="49"/>
      <c r="V182" s="49"/>
      <c r="W182" s="49"/>
      <c r="Y182" s="49"/>
      <c r="Z182" s="49"/>
    </row>
    <row r="183" customFormat="false" ht="15" hidden="false" customHeight="false" outlineLevel="0" collapsed="false">
      <c r="G183" s="49"/>
      <c r="H183" s="49"/>
      <c r="J183" s="49"/>
      <c r="K183" s="49"/>
      <c r="M183" s="49"/>
      <c r="N183" s="49"/>
      <c r="P183" s="49"/>
      <c r="Q183" s="49"/>
      <c r="S183" s="49"/>
      <c r="T183" s="49"/>
      <c r="V183" s="49"/>
      <c r="W183" s="49"/>
      <c r="Y183" s="49"/>
      <c r="Z183" s="49"/>
    </row>
    <row r="184" customFormat="false" ht="15" hidden="false" customHeight="false" outlineLevel="0" collapsed="false">
      <c r="G184" s="49"/>
      <c r="H184" s="49"/>
      <c r="J184" s="49"/>
      <c r="K184" s="49"/>
      <c r="M184" s="49"/>
      <c r="N184" s="49"/>
      <c r="P184" s="49"/>
      <c r="Q184" s="49"/>
      <c r="S184" s="49"/>
      <c r="T184" s="49"/>
      <c r="V184" s="49"/>
      <c r="W184" s="49"/>
      <c r="Y184" s="49"/>
      <c r="Z184" s="49"/>
    </row>
    <row r="185" customFormat="false" ht="15" hidden="false" customHeight="false" outlineLevel="0" collapsed="false">
      <c r="G185" s="49"/>
      <c r="H185" s="49"/>
      <c r="J185" s="49"/>
      <c r="K185" s="49"/>
      <c r="M185" s="49"/>
      <c r="N185" s="49"/>
      <c r="P185" s="49"/>
      <c r="Q185" s="49"/>
      <c r="S185" s="49"/>
      <c r="T185" s="49"/>
      <c r="V185" s="49"/>
      <c r="W185" s="49"/>
      <c r="Y185" s="49"/>
      <c r="Z185" s="49"/>
    </row>
    <row r="186" customFormat="false" ht="15" hidden="false" customHeight="false" outlineLevel="0" collapsed="false">
      <c r="G186" s="49"/>
      <c r="H186" s="49"/>
      <c r="J186" s="49"/>
      <c r="K186" s="49"/>
      <c r="M186" s="49"/>
      <c r="N186" s="49"/>
      <c r="P186" s="49"/>
      <c r="Q186" s="49"/>
      <c r="S186" s="49"/>
      <c r="T186" s="49"/>
      <c r="V186" s="49"/>
      <c r="W186" s="49"/>
      <c r="Y186" s="49"/>
      <c r="Z186" s="49"/>
    </row>
    <row r="187" customFormat="false" ht="15" hidden="false" customHeight="false" outlineLevel="0" collapsed="false">
      <c r="G187" s="49"/>
      <c r="H187" s="49"/>
      <c r="J187" s="49"/>
      <c r="K187" s="49"/>
      <c r="M187" s="49"/>
      <c r="N187" s="49"/>
      <c r="P187" s="49"/>
      <c r="Q187" s="49"/>
      <c r="S187" s="49"/>
      <c r="T187" s="49"/>
      <c r="V187" s="49"/>
      <c r="W187" s="49"/>
      <c r="Y187" s="49"/>
      <c r="Z187" s="49"/>
    </row>
    <row r="188" customFormat="false" ht="15" hidden="false" customHeight="false" outlineLevel="0" collapsed="false">
      <c r="G188" s="49"/>
      <c r="H188" s="49"/>
      <c r="J188" s="49"/>
      <c r="K188" s="49"/>
      <c r="M188" s="49"/>
      <c r="N188" s="49"/>
      <c r="P188" s="49"/>
      <c r="Q188" s="49"/>
      <c r="S188" s="49"/>
      <c r="T188" s="49"/>
      <c r="V188" s="49"/>
      <c r="W188" s="49"/>
      <c r="Y188" s="49"/>
      <c r="Z188" s="49"/>
    </row>
    <row r="189" customFormat="false" ht="15" hidden="false" customHeight="false" outlineLevel="0" collapsed="false">
      <c r="G189" s="49"/>
      <c r="H189" s="49"/>
      <c r="J189" s="49"/>
      <c r="K189" s="49"/>
      <c r="M189" s="49"/>
      <c r="N189" s="49"/>
      <c r="P189" s="49"/>
      <c r="Q189" s="49"/>
      <c r="S189" s="49"/>
      <c r="T189" s="49"/>
      <c r="V189" s="49"/>
      <c r="W189" s="49"/>
      <c r="Y189" s="49"/>
      <c r="Z189" s="49"/>
    </row>
    <row r="190" customFormat="false" ht="15" hidden="false" customHeight="false" outlineLevel="0" collapsed="false">
      <c r="G190" s="49"/>
      <c r="H190" s="49"/>
      <c r="J190" s="49"/>
      <c r="K190" s="49"/>
      <c r="M190" s="49"/>
      <c r="N190" s="49"/>
      <c r="P190" s="49"/>
      <c r="Q190" s="49"/>
      <c r="S190" s="49"/>
      <c r="T190" s="49"/>
      <c r="V190" s="49"/>
      <c r="W190" s="49"/>
      <c r="Y190" s="49"/>
      <c r="Z190" s="49"/>
    </row>
    <row r="191" customFormat="false" ht="15" hidden="false" customHeight="false" outlineLevel="0" collapsed="false">
      <c r="G191" s="49"/>
      <c r="H191" s="49"/>
      <c r="J191" s="49"/>
      <c r="K191" s="49"/>
      <c r="M191" s="49"/>
      <c r="N191" s="49"/>
      <c r="P191" s="49"/>
      <c r="Q191" s="49"/>
      <c r="S191" s="49"/>
      <c r="T191" s="49"/>
      <c r="V191" s="49"/>
      <c r="W191" s="49"/>
      <c r="Y191" s="49"/>
      <c r="Z191" s="49"/>
    </row>
    <row r="192" customFormat="false" ht="15" hidden="false" customHeight="false" outlineLevel="0" collapsed="false">
      <c r="G192" s="49"/>
      <c r="H192" s="49"/>
      <c r="J192" s="49"/>
      <c r="K192" s="49"/>
      <c r="M192" s="49"/>
      <c r="N192" s="49"/>
      <c r="P192" s="49"/>
      <c r="Q192" s="49"/>
      <c r="S192" s="49"/>
      <c r="T192" s="49"/>
      <c r="V192" s="49"/>
      <c r="W192" s="49"/>
      <c r="Y192" s="49"/>
      <c r="Z192" s="49"/>
    </row>
    <row r="193" customFormat="false" ht="15" hidden="false" customHeight="false" outlineLevel="0" collapsed="false">
      <c r="G193" s="49"/>
      <c r="H193" s="49"/>
      <c r="J193" s="49"/>
      <c r="K193" s="49"/>
      <c r="M193" s="49"/>
      <c r="N193" s="49"/>
      <c r="P193" s="49"/>
      <c r="Q193" s="49"/>
      <c r="S193" s="49"/>
      <c r="T193" s="49"/>
      <c r="V193" s="49"/>
      <c r="W193" s="49"/>
      <c r="Y193" s="49"/>
      <c r="Z193" s="49"/>
    </row>
    <row r="194" customFormat="false" ht="15" hidden="false" customHeight="false" outlineLevel="0" collapsed="false">
      <c r="G194" s="49"/>
      <c r="H194" s="49"/>
      <c r="J194" s="49"/>
      <c r="K194" s="49"/>
      <c r="M194" s="49"/>
      <c r="N194" s="49"/>
      <c r="P194" s="49"/>
      <c r="Q194" s="49"/>
      <c r="S194" s="49"/>
      <c r="T194" s="49"/>
      <c r="V194" s="49"/>
      <c r="W194" s="49"/>
      <c r="Y194" s="49"/>
      <c r="Z194" s="49"/>
    </row>
    <row r="195" customFormat="false" ht="15" hidden="false" customHeight="false" outlineLevel="0" collapsed="false">
      <c r="G195" s="49"/>
      <c r="H195" s="49"/>
      <c r="J195" s="49"/>
      <c r="K195" s="49"/>
      <c r="M195" s="49"/>
      <c r="N195" s="49"/>
      <c r="P195" s="49"/>
      <c r="Q195" s="49"/>
      <c r="S195" s="49"/>
      <c r="T195" s="49"/>
      <c r="V195" s="49"/>
      <c r="W195" s="49"/>
      <c r="Y195" s="49"/>
      <c r="Z195" s="49"/>
    </row>
    <row r="196" customFormat="false" ht="15" hidden="false" customHeight="false" outlineLevel="0" collapsed="false">
      <c r="G196" s="49"/>
      <c r="H196" s="49"/>
      <c r="J196" s="49"/>
      <c r="K196" s="49"/>
      <c r="M196" s="49"/>
      <c r="N196" s="49"/>
      <c r="P196" s="49"/>
      <c r="Q196" s="49"/>
      <c r="S196" s="49"/>
      <c r="T196" s="49"/>
      <c r="V196" s="49"/>
      <c r="W196" s="49"/>
      <c r="Y196" s="49"/>
      <c r="Z196" s="49"/>
    </row>
    <row r="197" customFormat="false" ht="15" hidden="false" customHeight="false" outlineLevel="0" collapsed="false">
      <c r="G197" s="49"/>
      <c r="H197" s="49"/>
      <c r="J197" s="49"/>
      <c r="K197" s="49"/>
      <c r="M197" s="49"/>
      <c r="N197" s="49"/>
      <c r="P197" s="49"/>
      <c r="Q197" s="49"/>
      <c r="S197" s="49"/>
      <c r="T197" s="49"/>
      <c r="V197" s="49"/>
      <c r="W197" s="49"/>
      <c r="Y197" s="49"/>
      <c r="Z197" s="49"/>
    </row>
    <row r="198" customFormat="false" ht="15" hidden="false" customHeight="false" outlineLevel="0" collapsed="false">
      <c r="G198" s="49"/>
      <c r="H198" s="49"/>
      <c r="J198" s="49"/>
      <c r="K198" s="49"/>
      <c r="M198" s="49"/>
      <c r="N198" s="49"/>
      <c r="P198" s="49"/>
      <c r="Q198" s="49"/>
      <c r="S198" s="49"/>
      <c r="T198" s="49"/>
      <c r="V198" s="49"/>
      <c r="W198" s="49"/>
      <c r="Y198" s="49"/>
      <c r="Z198" s="49"/>
    </row>
    <row r="199" customFormat="false" ht="15" hidden="false" customHeight="false" outlineLevel="0" collapsed="false">
      <c r="G199" s="49"/>
      <c r="H199" s="49"/>
      <c r="J199" s="49"/>
      <c r="K199" s="49"/>
      <c r="M199" s="49"/>
      <c r="N199" s="49"/>
      <c r="P199" s="49"/>
      <c r="Q199" s="49"/>
      <c r="S199" s="49"/>
      <c r="T199" s="49"/>
      <c r="V199" s="49"/>
      <c r="W199" s="49"/>
      <c r="Y199" s="49"/>
      <c r="Z199" s="49"/>
    </row>
    <row r="200" customFormat="false" ht="15" hidden="false" customHeight="false" outlineLevel="0" collapsed="false">
      <c r="G200" s="49"/>
      <c r="H200" s="49"/>
      <c r="J200" s="49"/>
      <c r="K200" s="49"/>
      <c r="M200" s="49"/>
      <c r="N200" s="49"/>
      <c r="P200" s="49"/>
      <c r="Q200" s="49"/>
      <c r="S200" s="49"/>
      <c r="T200" s="49"/>
      <c r="V200" s="49"/>
      <c r="W200" s="49"/>
      <c r="Y200" s="49"/>
      <c r="Z200" s="49"/>
    </row>
  </sheetData>
  <conditionalFormatting sqref="A2:B200">
    <cfRule type="expression" priority="2" aboveAverage="0" equalAverage="0" bottom="0" percent="0" rank="0" text="" dxfId="13">
      <formula>$B2="FAIL"</formula>
    </cfRule>
  </conditionalFormatting>
  <conditionalFormatting sqref="B2:B200">
    <cfRule type="expression" priority="3" aboveAverage="0" equalAverage="0" bottom="0" percent="0" rank="0" text="" dxfId="14">
      <formula>AND($B2&lt;&gt;"",$B2&lt;&gt;"FAIL")</formula>
    </cfRule>
  </conditionalFormatting>
  <conditionalFormatting sqref="E2:E200">
    <cfRule type="expression" priority="4" aboveAverage="0" equalAverage="0" bottom="0" percent="0" rank="0" text="" dxfId="15">
      <formula>$E2="yes"</formula>
    </cfRule>
  </conditionalFormatting>
  <conditionalFormatting sqref="F2:F200">
    <cfRule type="expression" priority="5" aboveAverage="0" equalAverage="0" bottom="0" percent="0" rank="0" text="" dxfId="16">
      <formula>AND(ISNUMBER(F2),OR(F2&lt;0,F2&gt;10))</formula>
    </cfRule>
    <cfRule type="expression" priority="6" aboveAverage="0" equalAverage="0" bottom="0" percent="0" rank="0" text="" dxfId="13">
      <formula>AND(ISNUMBER(F2),F2&lt;$AQ2)</formula>
    </cfRule>
    <cfRule type="expression" priority="7" aboveAverage="0" equalAverage="0" bottom="0" percent="0" rank="0" text="" dxfId="17">
      <formula>AND(ISNUMBER(F2),F2&gt;=$AQ2)</formula>
    </cfRule>
  </conditionalFormatting>
  <conditionalFormatting sqref="I2:I200">
    <cfRule type="expression" priority="8" aboveAverage="0" equalAverage="0" bottom="0" percent="0" rank="0" text="" dxfId="16">
      <formula>AND(ISNUMBER(I2),OR(I2&lt;0,I2&gt;10))</formula>
    </cfRule>
    <cfRule type="expression" priority="9" aboveAverage="0" equalAverage="0" bottom="0" percent="0" rank="0" text="" dxfId="13">
      <formula>AND(ISNUMBER(I2),I2&lt;$AS2)</formula>
    </cfRule>
    <cfRule type="expression" priority="10" aboveAverage="0" equalAverage="0" bottom="0" percent="0" rank="0" text="" dxfId="17">
      <formula>AND(ISNUMBER(I2),I2&gt;=$AS2)</formula>
    </cfRule>
  </conditionalFormatting>
  <conditionalFormatting sqref="L2:L200">
    <cfRule type="expression" priority="11" aboveAverage="0" equalAverage="0" bottom="0" percent="0" rank="0" text="" dxfId="16">
      <formula>AND(ISNUMBER(L2),OR(L2&lt;0,L2&gt;10))</formula>
    </cfRule>
    <cfRule type="expression" priority="12" aboveAverage="0" equalAverage="0" bottom="0" percent="0" rank="0" text="" dxfId="13">
      <formula>AND(ISNUMBER(L2),L2&lt;$AT2)</formula>
    </cfRule>
    <cfRule type="expression" priority="13" aboveAverage="0" equalAverage="0" bottom="0" percent="0" rank="0" text="" dxfId="17">
      <formula>AND(ISNUMBER(L2),L2&gt;=$AT2)</formula>
    </cfRule>
  </conditionalFormatting>
  <conditionalFormatting sqref="O2:O200">
    <cfRule type="expression" priority="14" aboveAverage="0" equalAverage="0" bottom="0" percent="0" rank="0" text="" dxfId="16">
      <formula>AND(ISNUMBER(O2),OR(O2&lt;0,O2&gt;10))</formula>
    </cfRule>
    <cfRule type="expression" priority="15" aboveAverage="0" equalAverage="0" bottom="0" percent="0" rank="0" text="" dxfId="13">
      <formula>AND(ISNUMBER(O2),O2&lt;$AU2)</formula>
    </cfRule>
    <cfRule type="expression" priority="16" aboveAverage="0" equalAverage="0" bottom="0" percent="0" rank="0" text="" dxfId="17">
      <formula>AND(ISNUMBER(O2),O2&gt;=$AU2)</formula>
    </cfRule>
  </conditionalFormatting>
  <conditionalFormatting sqref="R2:R200">
    <cfRule type="expression" priority="17" aboveAverage="0" equalAverage="0" bottom="0" percent="0" rank="0" text="" dxfId="16">
      <formula>AND(ISNUMBER(R2),OR(R2&lt;0,R2&gt;10))</formula>
    </cfRule>
    <cfRule type="expression" priority="18" aboveAverage="0" equalAverage="0" bottom="0" percent="0" rank="0" text="" dxfId="13">
      <formula>AND(ISNUMBER(R2),R2&lt;$AV2)</formula>
    </cfRule>
    <cfRule type="expression" priority="19" aboveAverage="0" equalAverage="0" bottom="0" percent="0" rank="0" text="" dxfId="17">
      <formula>AND(ISNUMBER(R2),R2&gt;=$AV2)</formula>
    </cfRule>
  </conditionalFormatting>
  <conditionalFormatting sqref="U2:U200">
    <cfRule type="expression" priority="20" aboveAverage="0" equalAverage="0" bottom="0" percent="0" rank="0" text="" dxfId="16">
      <formula>AND(ISNUMBER(U2),OR(U2&lt;0,U2&gt;10))</formula>
    </cfRule>
    <cfRule type="expression" priority="21" aboveAverage="0" equalAverage="0" bottom="0" percent="0" rank="0" text="" dxfId="13">
      <formula>AND(ISNUMBER(U2),U2&lt;$AW2)</formula>
    </cfRule>
    <cfRule type="expression" priority="22" aboveAverage="0" equalAverage="0" bottom="0" percent="0" rank="0" text="" dxfId="17">
      <formula>AND(ISNUMBER(U2),U2&gt;=$AW2)</formula>
    </cfRule>
  </conditionalFormatting>
  <conditionalFormatting sqref="X2:X200">
    <cfRule type="expression" priority="23" aboveAverage="0" equalAverage="0" bottom="0" percent="0" rank="0" text="" dxfId="16">
      <formula>AND(ISNUMBER(X2),OR(X2&lt;0,X2&gt;10))</formula>
    </cfRule>
    <cfRule type="expression" priority="24" aboveAverage="0" equalAverage="0" bottom="0" percent="0" rank="0" text="" dxfId="13">
      <formula>AND(ISNUMBER(X2),X2&lt;$AX2)</formula>
    </cfRule>
    <cfRule type="expression" priority="25" aboveAverage="0" equalAverage="0" bottom="0" percent="0" rank="0" text="" dxfId="17">
      <formula>AND(ISNUMBER(X2),X2&gt;=$AX2)</formula>
    </cfRule>
  </conditionalFormatting>
  <conditionalFormatting sqref="G2:G200 H2:H200 J2:J200 K2:K200 M2:M200 N2:N200 P2:P200 Q2:Q200 S2:S200 T2:T200 V2:V200 W2:W200 Y2:Y200 Z2:Z200">
    <cfRule type="expression" priority="26" aboveAverage="0" equalAverage="0" bottom="0" percent="0" rank="0" text="" dxfId="16">
      <formula>AND(ISNUMBER(G2),G2&lt;36526)</formula>
    </cfRule>
  </conditionalFormatting>
  <dataValidations count="3">
    <dataValidation allowBlank="true" error="Pick a position from the Job Info tab." errorStyle="stop" errorTitle="Unknown position" operator="between" showDropDown="false" showErrorMessage="true" showInputMessage="false" sqref="C2:C500" type="list">
      <formula1>'Job Info'!$A$2:$A$9</formula1>
      <formula2>0</formula2>
    </dataValidation>
    <dataValidation allowBlank="true" error="Scores must be between 0 and 10." errorStyle="stop" errorTitle="Score out of range" operator="between" showDropDown="false" showErrorMessage="true" showInputMessage="false" sqref="F2:F500 I2:I500 L2:L500 O2:O500 R2:R500 U2:U500 X2:X500" type="decimal">
      <formula1>0</formula1>
      <formula2>10</formula2>
    </dataValidation>
    <dataValidation allowBlank="true" error="Enter a real date, for example 2026-10-13." errorStyle="stop" errorTitle="Not a date" operator="greaterThanOrEqual" showDropDown="false" showErrorMessage="true" showInputMessage="false" sqref="G2:H500 J2:K500 M2:N500 P2:Q500 S2:T500 V2:W500 Y2:Z500" type="date">
      <formula1>43831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42F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0" t="s">
        <v>153</v>
      </c>
      <c r="B1" s="51" t="n">
        <v>5</v>
      </c>
      <c r="D1" s="52" t="s">
        <v>154</v>
      </c>
    </row>
    <row r="2" customFormat="false" ht="15" hidden="false" customHeight="false" outlineLevel="0" collapsed="false">
      <c r="A2" s="53" t="s">
        <v>155</v>
      </c>
      <c r="B2" s="51" t="n">
        <v>8</v>
      </c>
      <c r="D2" s="4" t="s">
        <v>156</v>
      </c>
    </row>
    <row r="3" customFormat="false" ht="15" hidden="false" customHeight="false" outlineLevel="0" collapsed="false">
      <c r="A3" s="53" t="s">
        <v>21</v>
      </c>
      <c r="B3" s="51" t="n">
        <v>7</v>
      </c>
      <c r="D3" s="4" t="s">
        <v>157</v>
      </c>
    </row>
    <row r="4" customFormat="false" ht="15" hidden="false" customHeight="false" outlineLevel="0" collapsed="false">
      <c r="A4" s="53" t="s">
        <v>22</v>
      </c>
      <c r="B4" s="51" t="n">
        <v>6</v>
      </c>
    </row>
    <row r="5" customFormat="false" ht="15" hidden="false" customHeight="false" outlineLevel="0" collapsed="false">
      <c r="A5" s="53" t="s">
        <v>23</v>
      </c>
      <c r="B5" s="51" t="n">
        <v>7</v>
      </c>
    </row>
    <row r="6" customFormat="false" ht="15" hidden="false" customHeight="false" outlineLevel="0" collapsed="false">
      <c r="A6" s="53" t="s">
        <v>24</v>
      </c>
      <c r="B6" s="51" t="n">
        <v>6</v>
      </c>
    </row>
    <row r="7" customFormat="false" ht="15" hidden="false" customHeight="false" outlineLevel="0" collapsed="false">
      <c r="A7" s="53" t="s">
        <v>25</v>
      </c>
      <c r="B7" s="51" t="n">
        <v>8</v>
      </c>
    </row>
    <row r="8" customFormat="false" ht="15.75" hidden="false" customHeight="true" outlineLevel="0" collapsed="false">
      <c r="A8" s="54" t="s">
        <v>26</v>
      </c>
      <c r="B8" s="5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42F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3" activeCellId="0" sqref="D23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55" t="s">
        <v>158</v>
      </c>
      <c r="B1" s="56" t="s">
        <v>69</v>
      </c>
      <c r="C1" s="57" t="s">
        <v>159</v>
      </c>
    </row>
    <row r="2" customFormat="false" ht="15" hidden="false" customHeight="false" outlineLevel="0" collapsed="false">
      <c r="A2" s="58" t="s">
        <v>117</v>
      </c>
      <c r="B2" s="59" t="s">
        <v>38</v>
      </c>
      <c r="C2" s="60" t="s">
        <v>160</v>
      </c>
    </row>
    <row r="3" customFormat="false" ht="15" hidden="false" customHeight="false" outlineLevel="0" collapsed="false">
      <c r="A3" s="58" t="s">
        <v>119</v>
      </c>
      <c r="B3" s="59" t="s">
        <v>38</v>
      </c>
      <c r="C3" s="60" t="s">
        <v>160</v>
      </c>
    </row>
    <row r="4" customFormat="false" ht="15" hidden="false" customHeight="false" outlineLevel="0" collapsed="false">
      <c r="A4" s="58" t="s">
        <v>121</v>
      </c>
      <c r="B4" s="59" t="s">
        <v>38</v>
      </c>
      <c r="C4" s="60" t="s">
        <v>160</v>
      </c>
    </row>
    <row r="5" customFormat="false" ht="15" hidden="false" customHeight="false" outlineLevel="0" collapsed="false">
      <c r="A5" s="58" t="s">
        <v>123</v>
      </c>
      <c r="B5" s="59" t="s">
        <v>39</v>
      </c>
      <c r="C5" s="60" t="s">
        <v>161</v>
      </c>
    </row>
    <row r="6" customFormat="false" ht="15" hidden="false" customHeight="false" outlineLevel="0" collapsed="false">
      <c r="A6" s="58" t="s">
        <v>125</v>
      </c>
      <c r="B6" s="59" t="s">
        <v>39</v>
      </c>
      <c r="C6" s="60" t="s">
        <v>161</v>
      </c>
    </row>
    <row r="7" customFormat="false" ht="15" hidden="false" customHeight="false" outlineLevel="0" collapsed="false">
      <c r="A7" s="58" t="s">
        <v>127</v>
      </c>
      <c r="B7" s="59" t="s">
        <v>39</v>
      </c>
      <c r="C7" s="60" t="s">
        <v>161</v>
      </c>
    </row>
    <row r="8" customFormat="false" ht="15" hidden="false" customHeight="false" outlineLevel="0" collapsed="false">
      <c r="A8" s="58" t="s">
        <v>129</v>
      </c>
      <c r="B8" s="59" t="s">
        <v>40</v>
      </c>
      <c r="C8" s="60" t="s">
        <v>162</v>
      </c>
    </row>
    <row r="9" customFormat="false" ht="15" hidden="false" customHeight="false" outlineLevel="0" collapsed="false">
      <c r="A9" s="61" t="s">
        <v>131</v>
      </c>
      <c r="B9" s="62" t="s">
        <v>40</v>
      </c>
      <c r="C9" s="63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42F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1" activeCellId="0" sqref="B1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30"/>
  </cols>
  <sheetData>
    <row r="1" customFormat="false" ht="15.75" hidden="false" customHeight="true" outlineLevel="0" collapsed="false">
      <c r="A1" s="64" t="s">
        <v>163</v>
      </c>
      <c r="B1" s="65" t="s">
        <v>40</v>
      </c>
      <c r="C1" s="65"/>
      <c r="D1" s="66" t="s">
        <v>38</v>
      </c>
      <c r="E1" s="66"/>
      <c r="F1" s="67" t="s">
        <v>39</v>
      </c>
      <c r="G1" s="67"/>
    </row>
    <row r="2" customFormat="false" ht="15.75" hidden="false" customHeight="true" outlineLevel="0" collapsed="false">
      <c r="A2" s="68" t="s">
        <v>164</v>
      </c>
      <c r="B2" s="69" t="s">
        <v>165</v>
      </c>
      <c r="C2" s="70" t="s">
        <v>166</v>
      </c>
      <c r="D2" s="71" t="s">
        <v>165</v>
      </c>
      <c r="E2" s="69" t="s">
        <v>166</v>
      </c>
      <c r="F2" s="71" t="s">
        <v>165</v>
      </c>
      <c r="G2" s="70" t="s">
        <v>166</v>
      </c>
    </row>
    <row r="3" customFormat="false" ht="15.75" hidden="false" customHeight="true" outlineLevel="0" collapsed="false">
      <c r="A3" s="68" t="s">
        <v>167</v>
      </c>
      <c r="B3" s="69" t="s">
        <v>168</v>
      </c>
      <c r="C3" s="70" t="s">
        <v>169</v>
      </c>
      <c r="D3" s="72" t="s">
        <v>170</v>
      </c>
      <c r="E3" s="73" t="s">
        <v>171</v>
      </c>
      <c r="F3" s="71" t="s">
        <v>172</v>
      </c>
      <c r="G3" s="70" t="s">
        <v>173</v>
      </c>
    </row>
    <row r="4" customFormat="false" ht="15.75" hidden="false" customHeight="true" outlineLevel="0" collapsed="false">
      <c r="A4" s="68" t="s">
        <v>174</v>
      </c>
      <c r="B4" s="69" t="n">
        <v>1</v>
      </c>
      <c r="C4" s="70" t="n">
        <v>2</v>
      </c>
      <c r="D4" s="72" t="n">
        <v>3</v>
      </c>
      <c r="E4" s="73" t="n">
        <v>4</v>
      </c>
      <c r="F4" s="71" t="n">
        <v>5</v>
      </c>
      <c r="G4" s="70" t="n">
        <v>6</v>
      </c>
    </row>
    <row r="5" customFormat="false" ht="15.75" hidden="false" customHeight="true" outlineLevel="0" collapsed="false">
      <c r="A5" s="74" t="s">
        <v>175</v>
      </c>
      <c r="B5" s="75" t="s">
        <v>43</v>
      </c>
      <c r="C5" s="75" t="s">
        <v>43</v>
      </c>
      <c r="D5" s="72" t="s">
        <v>43</v>
      </c>
      <c r="E5" s="76" t="s">
        <v>43</v>
      </c>
      <c r="F5" s="75" t="s">
        <v>43</v>
      </c>
      <c r="G5" s="77" t="s">
        <v>43</v>
      </c>
    </row>
    <row r="6" customFormat="false" ht="15.75" hidden="false" customHeight="true" outlineLevel="0" collapsed="false">
      <c r="A6" s="68" t="s">
        <v>176</v>
      </c>
      <c r="B6" s="59" t="s">
        <v>44</v>
      </c>
      <c r="C6" s="59" t="s">
        <v>53</v>
      </c>
      <c r="D6" s="58" t="s">
        <v>44</v>
      </c>
      <c r="E6" s="78" t="s">
        <v>47</v>
      </c>
      <c r="F6" s="59" t="s">
        <v>44</v>
      </c>
      <c r="G6" s="78" t="s">
        <v>50</v>
      </c>
    </row>
    <row r="7" customFormat="false" ht="15.75" hidden="false" customHeight="true" outlineLevel="0" collapsed="false">
      <c r="A7" s="68" t="s">
        <v>177</v>
      </c>
      <c r="B7" s="59" t="s">
        <v>45</v>
      </c>
      <c r="C7" s="59" t="s">
        <v>54</v>
      </c>
      <c r="D7" s="58" t="s">
        <v>45</v>
      </c>
      <c r="E7" s="78" t="s">
        <v>48</v>
      </c>
      <c r="F7" s="59" t="s">
        <v>45</v>
      </c>
      <c r="G7" s="78" t="s">
        <v>51</v>
      </c>
    </row>
    <row r="8" customFormat="false" ht="15.75" hidden="false" customHeight="true" outlineLevel="0" collapsed="false">
      <c r="A8" s="68" t="s">
        <v>178</v>
      </c>
      <c r="B8" s="59" t="s">
        <v>46</v>
      </c>
      <c r="C8" s="59" t="s">
        <v>55</v>
      </c>
      <c r="D8" s="58" t="s">
        <v>46</v>
      </c>
      <c r="E8" s="78" t="s">
        <v>49</v>
      </c>
      <c r="F8" s="59" t="s">
        <v>46</v>
      </c>
      <c r="G8" s="78" t="s">
        <v>52</v>
      </c>
    </row>
    <row r="9" customFormat="false" ht="15.75" hidden="false" customHeight="true" outlineLevel="0" collapsed="false">
      <c r="A9" s="68" t="s">
        <v>179</v>
      </c>
      <c r="B9" s="59" t="s">
        <v>53</v>
      </c>
      <c r="C9" s="59" t="s">
        <v>44</v>
      </c>
      <c r="D9" s="58" t="s">
        <v>47</v>
      </c>
      <c r="E9" s="78" t="s">
        <v>44</v>
      </c>
      <c r="F9" s="59" t="s">
        <v>50</v>
      </c>
      <c r="G9" s="78" t="s">
        <v>44</v>
      </c>
    </row>
    <row r="10" customFormat="false" ht="15.75" hidden="false" customHeight="true" outlineLevel="0" collapsed="false">
      <c r="A10" s="68" t="s">
        <v>180</v>
      </c>
      <c r="B10" s="59" t="s">
        <v>54</v>
      </c>
      <c r="C10" s="59" t="s">
        <v>45</v>
      </c>
      <c r="D10" s="58" t="s">
        <v>48</v>
      </c>
      <c r="E10" s="78" t="s">
        <v>45</v>
      </c>
      <c r="F10" s="59" t="s">
        <v>51</v>
      </c>
      <c r="G10" s="78" t="s">
        <v>45</v>
      </c>
    </row>
    <row r="11" customFormat="false" ht="15.75" hidden="false" customHeight="true" outlineLevel="0" collapsed="false">
      <c r="A11" s="68" t="s">
        <v>181</v>
      </c>
      <c r="B11" s="59" t="s">
        <v>55</v>
      </c>
      <c r="C11" s="59" t="s">
        <v>46</v>
      </c>
      <c r="D11" s="58" t="s">
        <v>49</v>
      </c>
      <c r="E11" s="78" t="s">
        <v>46</v>
      </c>
      <c r="F11" s="59" t="s">
        <v>52</v>
      </c>
      <c r="G11" s="78" t="s">
        <v>46</v>
      </c>
    </row>
    <row r="12" customFormat="false" ht="15.75" hidden="false" customHeight="true" outlineLevel="0" collapsed="false">
      <c r="A12" s="68" t="s">
        <v>182</v>
      </c>
      <c r="B12" s="59" t="s">
        <v>59</v>
      </c>
      <c r="C12" s="59" t="s">
        <v>59</v>
      </c>
      <c r="D12" s="58" t="s">
        <v>56</v>
      </c>
      <c r="E12" s="78" t="s">
        <v>56</v>
      </c>
      <c r="F12" s="59" t="s">
        <v>53</v>
      </c>
      <c r="G12" s="78" t="s">
        <v>53</v>
      </c>
    </row>
    <row r="13" customFormat="false" ht="15.75" hidden="false" customHeight="true" outlineLevel="0" collapsed="false">
      <c r="A13" s="68" t="s">
        <v>183</v>
      </c>
      <c r="B13" s="59" t="s">
        <v>60</v>
      </c>
      <c r="C13" s="59" t="s">
        <v>60</v>
      </c>
      <c r="D13" s="58" t="s">
        <v>57</v>
      </c>
      <c r="E13" s="78" t="s">
        <v>57</v>
      </c>
      <c r="F13" s="59" t="s">
        <v>54</v>
      </c>
      <c r="G13" s="78" t="s">
        <v>54</v>
      </c>
    </row>
    <row r="14" customFormat="false" ht="15.75" hidden="false" customHeight="true" outlineLevel="0" collapsed="false">
      <c r="A14" s="68" t="s">
        <v>184</v>
      </c>
      <c r="B14" s="59" t="s">
        <v>61</v>
      </c>
      <c r="C14" s="59" t="s">
        <v>61</v>
      </c>
      <c r="D14" s="58" t="s">
        <v>58</v>
      </c>
      <c r="E14" s="78" t="s">
        <v>58</v>
      </c>
      <c r="F14" s="59" t="s">
        <v>55</v>
      </c>
      <c r="G14" s="78" t="s">
        <v>55</v>
      </c>
    </row>
    <row r="15" customFormat="false" ht="15.75" hidden="false" customHeight="true" outlineLevel="0" collapsed="false">
      <c r="A15" s="68" t="s">
        <v>185</v>
      </c>
      <c r="B15" s="59" t="s">
        <v>62</v>
      </c>
      <c r="C15" s="59" t="s">
        <v>62</v>
      </c>
      <c r="D15" s="58" t="s">
        <v>59</v>
      </c>
      <c r="E15" s="78" t="s">
        <v>59</v>
      </c>
      <c r="F15" s="59" t="s">
        <v>59</v>
      </c>
      <c r="G15" s="78" t="s">
        <v>59</v>
      </c>
    </row>
    <row r="16" customFormat="false" ht="15.75" hidden="false" customHeight="true" outlineLevel="0" collapsed="false">
      <c r="A16" s="68" t="s">
        <v>186</v>
      </c>
      <c r="B16" s="59" t="s">
        <v>63</v>
      </c>
      <c r="C16" s="59" t="s">
        <v>63</v>
      </c>
      <c r="D16" s="58" t="s">
        <v>60</v>
      </c>
      <c r="E16" s="78" t="s">
        <v>60</v>
      </c>
      <c r="F16" s="59" t="s">
        <v>60</v>
      </c>
      <c r="G16" s="78" t="s">
        <v>60</v>
      </c>
    </row>
    <row r="17" customFormat="false" ht="15.75" hidden="false" customHeight="true" outlineLevel="0" collapsed="false">
      <c r="A17" s="68" t="s">
        <v>187</v>
      </c>
      <c r="B17" s="61" t="s">
        <v>64</v>
      </c>
      <c r="C17" s="79" t="s">
        <v>64</v>
      </c>
      <c r="D17" s="58" t="s">
        <v>61</v>
      </c>
      <c r="E17" s="78" t="s">
        <v>61</v>
      </c>
      <c r="F17" s="59" t="s">
        <v>61</v>
      </c>
      <c r="G17" s="78" t="s">
        <v>61</v>
      </c>
    </row>
    <row r="18" customFormat="false" ht="15.75" hidden="false" customHeight="true" outlineLevel="0" collapsed="false">
      <c r="A18" s="68" t="s">
        <v>188</v>
      </c>
      <c r="B18" s="80"/>
      <c r="C18" s="80"/>
      <c r="D18" s="58" t="s">
        <v>62</v>
      </c>
      <c r="E18" s="78" t="s">
        <v>62</v>
      </c>
      <c r="F18" s="58" t="s">
        <v>62</v>
      </c>
      <c r="G18" s="78" t="s">
        <v>62</v>
      </c>
    </row>
    <row r="19" customFormat="false" ht="15.75" hidden="false" customHeight="true" outlineLevel="0" collapsed="false">
      <c r="A19" s="68" t="s">
        <v>189</v>
      </c>
      <c r="B19" s="80"/>
      <c r="C19" s="80"/>
      <c r="D19" s="58" t="s">
        <v>63</v>
      </c>
      <c r="E19" s="78" t="s">
        <v>63</v>
      </c>
      <c r="F19" s="58" t="s">
        <v>63</v>
      </c>
      <c r="G19" s="78" t="s">
        <v>63</v>
      </c>
    </row>
    <row r="20" customFormat="false" ht="15.75" hidden="false" customHeight="true" outlineLevel="0" collapsed="false">
      <c r="A20" s="81" t="s">
        <v>190</v>
      </c>
      <c r="B20" s="80"/>
      <c r="C20" s="80"/>
      <c r="D20" s="61" t="s">
        <v>64</v>
      </c>
      <c r="E20" s="79" t="s">
        <v>64</v>
      </c>
      <c r="F20" s="61" t="s">
        <v>64</v>
      </c>
      <c r="G20" s="79" t="s">
        <v>64</v>
      </c>
    </row>
  </sheetData>
  <mergeCells count="3">
    <mergeCell ref="B1:C1"/>
    <mergeCell ref="D1:E1"/>
    <mergeCell ref="F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8C"/>
    <pageSetUpPr fitToPage="false"/>
  </sheetPr>
  <dimension ref="A1:Q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true" outlineLevel="0" max="12" min="11" style="0" width="13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11"/>
  </cols>
  <sheetData>
    <row r="1" customFormat="false" ht="23.85" hidden="false" customHeight="false" outlineLevel="0" collapsed="false">
      <c r="A1" s="82" t="s">
        <v>191</v>
      </c>
      <c r="B1" s="82" t="s">
        <v>158</v>
      </c>
      <c r="C1" s="82" t="s">
        <v>69</v>
      </c>
      <c r="D1" s="82" t="s">
        <v>192</v>
      </c>
      <c r="E1" s="82" t="s">
        <v>14</v>
      </c>
      <c r="F1" s="82" t="s">
        <v>193</v>
      </c>
      <c r="G1" s="82" t="s">
        <v>194</v>
      </c>
      <c r="H1" s="82" t="s">
        <v>195</v>
      </c>
      <c r="I1" s="82" t="s">
        <v>67</v>
      </c>
      <c r="K1" s="83" t="s">
        <v>196</v>
      </c>
      <c r="L1" s="83" t="s">
        <v>197</v>
      </c>
      <c r="N1" s="84" t="s">
        <v>192</v>
      </c>
      <c r="O1" s="84" t="s">
        <v>14</v>
      </c>
      <c r="P1" s="84" t="s">
        <v>198</v>
      </c>
      <c r="Q1" s="84" t="s">
        <v>194</v>
      </c>
    </row>
    <row r="2" customFormat="false" ht="15" hidden="false" customHeight="false" outlineLevel="0" collapsed="false">
      <c r="A2" s="85" t="str">
        <f aca="false">IF(INDEX(Candidates!$A$1:$A$500,K2)="","",INDEX(Candidates!$A$1:$A$500,K2))</f>
        <v>William S Preston</v>
      </c>
      <c r="B2" s="85" t="str">
        <f aca="false">IF(A2="","",INDEX(Candidates!$C$1:$C$500,K2))</f>
        <v>Front-End Developer</v>
      </c>
      <c r="C2" s="85" t="str">
        <f aca="false">IF(A2="","",INDEX(Candidates!$D$1:$D$500,K2))</f>
        <v>Software Developer</v>
      </c>
      <c r="D2" s="85" t="n">
        <f aca="false">IF(A2="","",L2)</f>
        <v>1</v>
      </c>
      <c r="E2" s="85" t="str">
        <f aca="false">IF(A2="","",INDEX($O$2:$O$8,L2))</f>
        <v>Resume Review</v>
      </c>
      <c r="F2" s="85" t="n">
        <f aca="false">IF(A2="","",IF(ISNUMBER(INDEX(Candidates!$A$1:$Z$500,K2,INDEX($P$2:$P$8,L2))),INDEX(Candidates!$A$1:$Z$500,K2,INDEX($P$2:$P$8,L2)),""))</f>
        <v>7</v>
      </c>
      <c r="G2" s="85" t="n">
        <f aca="false">IF(A2="","",INDEX($Q$2:$Q$8,L2))</f>
        <v>5</v>
      </c>
      <c r="H2" s="85" t="str">
        <f aca="false">IF(A2="","",IF(F2="","Not yet scored",IF(F2&gt;=G2,"Pass","Fail")))</f>
        <v>Pass</v>
      </c>
      <c r="I2" s="85" t="str">
        <f aca="false">IF(A2="","",INDEX(Candidates!$B$1:$B$500,K2))</f>
        <v>FAIL</v>
      </c>
      <c r="K2" s="86" t="n">
        <f aca="false">INT((ROW()-2)/7)+2</f>
        <v>2</v>
      </c>
      <c r="L2" s="86" t="n">
        <f aca="false">MOD(ROW()-2,7)+1</f>
        <v>1</v>
      </c>
      <c r="N2" s="85" t="n">
        <v>1</v>
      </c>
      <c r="O2" s="85" t="s">
        <v>20</v>
      </c>
      <c r="P2" s="87" t="n">
        <v>6</v>
      </c>
      <c r="Q2" s="85" t="n">
        <f aca="false">'Passing Scores'!$B$1</f>
        <v>5</v>
      </c>
    </row>
    <row r="3" customFormat="false" ht="15" hidden="false" customHeight="false" outlineLevel="0" collapsed="false">
      <c r="A3" s="85" t="str">
        <f aca="false">IF(INDEX(Candidates!$A$1:$A$500,K3)="","",INDEX(Candidates!$A$1:$A$500,K3))</f>
        <v>William S Preston</v>
      </c>
      <c r="B3" s="85" t="str">
        <f aca="false">IF(A3="","",INDEX(Candidates!$C$1:$C$500,K3))</f>
        <v>Front-End Developer</v>
      </c>
      <c r="C3" s="85" t="str">
        <f aca="false">IF(A3="","",INDEX(Candidates!$D$1:$D$500,K3))</f>
        <v>Software Developer</v>
      </c>
      <c r="D3" s="85" t="n">
        <f aca="false">IF(A3="","",L3)</f>
        <v>2</v>
      </c>
      <c r="E3" s="85" t="str">
        <f aca="false">IF(A3="","",INDEX($O$2:$O$8,L3))</f>
        <v>Tech Assessment</v>
      </c>
      <c r="F3" s="85" t="n">
        <f aca="false">IF(A3="","",IF(ISNUMBER(INDEX(Candidates!$A$1:$Z$500,K3,INDEX($P$2:$P$8,L3))),INDEX(Candidates!$A$1:$Z$500,K3,INDEX($P$2:$P$8,L3)),""))</f>
        <v>7</v>
      </c>
      <c r="G3" s="85" t="n">
        <f aca="false">IF(A3="","",INDEX($Q$2:$Q$8,L3))</f>
        <v>7</v>
      </c>
      <c r="H3" s="85" t="str">
        <f aca="false">IF(A3="","",IF(F3="","Not yet scored",IF(F3&gt;=G3,"Pass","Fail")))</f>
        <v>Pass</v>
      </c>
      <c r="I3" s="85" t="str">
        <f aca="false">IF(A3="","",INDEX(Candidates!$B$1:$B$500,K3))</f>
        <v>FAIL</v>
      </c>
      <c r="K3" s="86" t="n">
        <f aca="false">INT((ROW()-2)/7)+2</f>
        <v>2</v>
      </c>
      <c r="L3" s="86" t="n">
        <f aca="false">MOD(ROW()-2,7)+1</f>
        <v>2</v>
      </c>
      <c r="N3" s="85" t="n">
        <v>2</v>
      </c>
      <c r="O3" s="85" t="s">
        <v>21</v>
      </c>
      <c r="P3" s="87" t="n">
        <v>9</v>
      </c>
      <c r="Q3" s="85" t="n">
        <f aca="false">'Passing Scores'!$B$3</f>
        <v>7</v>
      </c>
    </row>
    <row r="4" customFormat="false" ht="15" hidden="false" customHeight="false" outlineLevel="0" collapsed="false">
      <c r="A4" s="85" t="str">
        <f aca="false">IF(INDEX(Candidates!$A$1:$A$500,K4)="","",INDEX(Candidates!$A$1:$A$500,K4))</f>
        <v>William S Preston</v>
      </c>
      <c r="B4" s="85" t="str">
        <f aca="false">IF(A4="","",INDEX(Candidates!$C$1:$C$500,K4))</f>
        <v>Front-End Developer</v>
      </c>
      <c r="C4" s="85" t="str">
        <f aca="false">IF(A4="","",INDEX(Candidates!$D$1:$D$500,K4))</f>
        <v>Software Developer</v>
      </c>
      <c r="D4" s="85" t="n">
        <f aca="false">IF(A4="","",L4)</f>
        <v>3</v>
      </c>
      <c r="E4" s="85" t="str">
        <f aca="false">IF(A4="","",INDEX($O$2:$O$8,L4))</f>
        <v>Initial Meeting</v>
      </c>
      <c r="F4" s="85" t="n">
        <f aca="false">IF(A4="","",IF(ISNUMBER(INDEX(Candidates!$A$1:$Z$500,K4,INDEX($P$2:$P$8,L4))),INDEX(Candidates!$A$1:$Z$500,K4,INDEX($P$2:$P$8,L4)),""))</f>
        <v>5</v>
      </c>
      <c r="G4" s="85" t="n">
        <f aca="false">IF(A4="","",INDEX($Q$2:$Q$8,L4))</f>
        <v>6</v>
      </c>
      <c r="H4" s="85" t="str">
        <f aca="false">IF(A4="","",IF(F4="","Not yet scored",IF(F4&gt;=G4,"Pass","Fail")))</f>
        <v>Fail</v>
      </c>
      <c r="I4" s="85" t="str">
        <f aca="false">IF(A4="","",INDEX(Candidates!$B$1:$B$500,K4))</f>
        <v>FAIL</v>
      </c>
      <c r="K4" s="86" t="n">
        <f aca="false">INT((ROW()-2)/7)+2</f>
        <v>2</v>
      </c>
      <c r="L4" s="86" t="n">
        <f aca="false">MOD(ROW()-2,7)+1</f>
        <v>3</v>
      </c>
      <c r="N4" s="85" t="n">
        <v>3</v>
      </c>
      <c r="O4" s="85" t="s">
        <v>22</v>
      </c>
      <c r="P4" s="87" t="n">
        <v>12</v>
      </c>
      <c r="Q4" s="85" t="n">
        <f aca="false">'Passing Scores'!$B$4</f>
        <v>6</v>
      </c>
    </row>
    <row r="5" customFormat="false" ht="15" hidden="false" customHeight="false" outlineLevel="0" collapsed="false">
      <c r="A5" s="85" t="str">
        <f aca="false">IF(INDEX(Candidates!$A$1:$A$500,K5)="","",INDEX(Candidates!$A$1:$A$500,K5))</f>
        <v>William S Preston</v>
      </c>
      <c r="B5" s="85" t="str">
        <f aca="false">IF(A5="","",INDEX(Candidates!$C$1:$C$500,K5))</f>
        <v>Front-End Developer</v>
      </c>
      <c r="C5" s="85" t="str">
        <f aca="false">IF(A5="","",INDEX(Candidates!$D$1:$D$500,K5))</f>
        <v>Software Developer</v>
      </c>
      <c r="D5" s="85" t="n">
        <f aca="false">IF(A5="","",L5)</f>
        <v>4</v>
      </c>
      <c r="E5" s="85" t="str">
        <f aca="false">IF(A5="","",INDEX($O$2:$O$8,L5))</f>
        <v>Portfolio</v>
      </c>
      <c r="F5" s="85" t="n">
        <f aca="false">IF(A5="","",IF(ISNUMBER(INDEX(Candidates!$A$1:$Z$500,K5,INDEX($P$2:$P$8,L5))),INDEX(Candidates!$A$1:$Z$500,K5,INDEX($P$2:$P$8,L5)),""))</f>
        <v>1</v>
      </c>
      <c r="G5" s="85" t="n">
        <f aca="false">IF(A5="","",INDEX($Q$2:$Q$8,L5))</f>
        <v>7</v>
      </c>
      <c r="H5" s="85" t="str">
        <f aca="false">IF(A5="","",IF(F5="","Not yet scored",IF(F5&gt;=G5,"Pass","Fail")))</f>
        <v>Fail</v>
      </c>
      <c r="I5" s="85" t="str">
        <f aca="false">IF(A5="","",INDEX(Candidates!$B$1:$B$500,K5))</f>
        <v>FAIL</v>
      </c>
      <c r="K5" s="86" t="n">
        <f aca="false">INT((ROW()-2)/7)+2</f>
        <v>2</v>
      </c>
      <c r="L5" s="86" t="n">
        <f aca="false">MOD(ROW()-2,7)+1</f>
        <v>4</v>
      </c>
      <c r="N5" s="85" t="n">
        <v>4</v>
      </c>
      <c r="O5" s="85" t="s">
        <v>23</v>
      </c>
      <c r="P5" s="87" t="n">
        <v>15</v>
      </c>
      <c r="Q5" s="85" t="n">
        <f aca="false">'Passing Scores'!$B$5</f>
        <v>7</v>
      </c>
    </row>
    <row r="6" customFormat="false" ht="15" hidden="false" customHeight="false" outlineLevel="0" collapsed="false">
      <c r="A6" s="85" t="str">
        <f aca="false">IF(INDEX(Candidates!$A$1:$A$500,K6)="","",INDEX(Candidates!$A$1:$A$500,K6))</f>
        <v>William S Preston</v>
      </c>
      <c r="B6" s="85" t="str">
        <f aca="false">IF(A6="","",INDEX(Candidates!$C$1:$C$500,K6))</f>
        <v>Front-End Developer</v>
      </c>
      <c r="C6" s="85" t="str">
        <f aca="false">IF(A6="","",INDEX(Candidates!$D$1:$D$500,K6))</f>
        <v>Software Developer</v>
      </c>
      <c r="D6" s="85" t="n">
        <f aca="false">IF(A6="","",L6)</f>
        <v>5</v>
      </c>
      <c r="E6" s="85" t="str">
        <f aca="false">IF(A6="","",INDEX($O$2:$O$8,L6))</f>
        <v>Personality Assessment</v>
      </c>
      <c r="F6" s="85" t="n">
        <f aca="false">IF(A6="","",IF(ISNUMBER(INDEX(Candidates!$A$1:$Z$500,K6,INDEX($P$2:$P$8,L6))),INDEX(Candidates!$A$1:$Z$500,K6,INDEX($P$2:$P$8,L6)),""))</f>
        <v>1</v>
      </c>
      <c r="G6" s="85" t="n">
        <f aca="false">IF(A6="","",INDEX($Q$2:$Q$8,L6))</f>
        <v>6</v>
      </c>
      <c r="H6" s="85" t="str">
        <f aca="false">IF(A6="","",IF(F6="","Not yet scored",IF(F6&gt;=G6,"Pass","Fail")))</f>
        <v>Fail</v>
      </c>
      <c r="I6" s="85" t="str">
        <f aca="false">IF(A6="","",INDEX(Candidates!$B$1:$B$500,K6))</f>
        <v>FAIL</v>
      </c>
      <c r="K6" s="86" t="n">
        <f aca="false">INT((ROW()-2)/7)+2</f>
        <v>2</v>
      </c>
      <c r="L6" s="86" t="n">
        <f aca="false">MOD(ROW()-2,7)+1</f>
        <v>5</v>
      </c>
      <c r="N6" s="85" t="n">
        <v>5</v>
      </c>
      <c r="O6" s="85" t="s">
        <v>24</v>
      </c>
      <c r="P6" s="87" t="n">
        <v>18</v>
      </c>
      <c r="Q6" s="85" t="n">
        <f aca="false">'Passing Scores'!$B$6</f>
        <v>6</v>
      </c>
    </row>
    <row r="7" customFormat="false" ht="15" hidden="false" customHeight="false" outlineLevel="0" collapsed="false">
      <c r="A7" s="85" t="str">
        <f aca="false">IF(INDEX(Candidates!$A$1:$A$500,K7)="","",INDEX(Candidates!$A$1:$A$500,K7))</f>
        <v>William S Preston</v>
      </c>
      <c r="B7" s="85" t="str">
        <f aca="false">IF(A7="","",INDEX(Candidates!$C$1:$C$500,K7))</f>
        <v>Front-End Developer</v>
      </c>
      <c r="C7" s="85" t="str">
        <f aca="false">IF(A7="","",INDEX(Candidates!$D$1:$D$500,K7))</f>
        <v>Software Developer</v>
      </c>
      <c r="D7" s="85" t="n">
        <f aca="false">IF(A7="","",L7)</f>
        <v>6</v>
      </c>
      <c r="E7" s="85" t="str">
        <f aca="false">IF(A7="","",INDEX($O$2:$O$8,L7))</f>
        <v>Technical Interview</v>
      </c>
      <c r="F7" s="85" t="n">
        <f aca="false">IF(A7="","",IF(ISNUMBER(INDEX(Candidates!$A$1:$Z$500,K7,INDEX($P$2:$P$8,L7))),INDEX(Candidates!$A$1:$Z$500,K7,INDEX($P$2:$P$8,L7)),""))</f>
        <v>1</v>
      </c>
      <c r="G7" s="85" t="n">
        <f aca="false">IF(A7="","",INDEX($Q$2:$Q$8,L7))</f>
        <v>8</v>
      </c>
      <c r="H7" s="85" t="str">
        <f aca="false">IF(A7="","",IF(F7="","Not yet scored",IF(F7&gt;=G7,"Pass","Fail")))</f>
        <v>Fail</v>
      </c>
      <c r="I7" s="85" t="str">
        <f aca="false">IF(A7="","",INDEX(Candidates!$B$1:$B$500,K7))</f>
        <v>FAIL</v>
      </c>
      <c r="K7" s="86" t="n">
        <f aca="false">INT((ROW()-2)/7)+2</f>
        <v>2</v>
      </c>
      <c r="L7" s="86" t="n">
        <f aca="false">MOD(ROW()-2,7)+1</f>
        <v>6</v>
      </c>
      <c r="N7" s="85" t="n">
        <v>6</v>
      </c>
      <c r="O7" s="85" t="s">
        <v>25</v>
      </c>
      <c r="P7" s="87" t="n">
        <v>21</v>
      </c>
      <c r="Q7" s="85" t="n">
        <f aca="false">'Passing Scores'!$B$7</f>
        <v>8</v>
      </c>
    </row>
    <row r="8" customFormat="false" ht="15" hidden="false" customHeight="false" outlineLevel="0" collapsed="false">
      <c r="A8" s="85" t="str">
        <f aca="false">IF(INDEX(Candidates!$A$1:$A$500,K8)="","",INDEX(Candidates!$A$1:$A$500,K8))</f>
        <v>William S Preston</v>
      </c>
      <c r="B8" s="85" t="str">
        <f aca="false">IF(A8="","",INDEX(Candidates!$C$1:$C$500,K8))</f>
        <v>Front-End Developer</v>
      </c>
      <c r="C8" s="85" t="str">
        <f aca="false">IF(A8="","",INDEX(Candidates!$D$1:$D$500,K8))</f>
        <v>Software Developer</v>
      </c>
      <c r="D8" s="85" t="n">
        <f aca="false">IF(A8="","",L8)</f>
        <v>7</v>
      </c>
      <c r="E8" s="85" t="str">
        <f aca="false">IF(A8="","",INDEX($O$2:$O$8,L8))</f>
        <v>Final Interview</v>
      </c>
      <c r="F8" s="85" t="n">
        <f aca="false">IF(A8="","",IF(ISNUMBER(INDEX(Candidates!$A$1:$Z$500,K8,INDEX($P$2:$P$8,L8))),INDEX(Candidates!$A$1:$Z$500,K8,INDEX($P$2:$P$8,L8)),""))</f>
        <v>1</v>
      </c>
      <c r="G8" s="85" t="n">
        <f aca="false">IF(A8="","",INDEX($Q$2:$Q$8,L8))</f>
        <v>8</v>
      </c>
      <c r="H8" s="85" t="str">
        <f aca="false">IF(A8="","",IF(F8="","Not yet scored",IF(F8&gt;=G8,"Pass","Fail")))</f>
        <v>Fail</v>
      </c>
      <c r="I8" s="85" t="str">
        <f aca="false">IF(A8="","",INDEX(Candidates!$B$1:$B$500,K8))</f>
        <v>FAIL</v>
      </c>
      <c r="K8" s="86" t="n">
        <f aca="false">INT((ROW()-2)/7)+2</f>
        <v>2</v>
      </c>
      <c r="L8" s="86" t="n">
        <f aca="false">MOD(ROW()-2,7)+1</f>
        <v>7</v>
      </c>
      <c r="N8" s="85" t="n">
        <v>7</v>
      </c>
      <c r="O8" s="85" t="s">
        <v>26</v>
      </c>
      <c r="P8" s="87" t="n">
        <v>24</v>
      </c>
      <c r="Q8" s="85" t="n">
        <f aca="false">'Passing Scores'!$B$8</f>
        <v>8</v>
      </c>
    </row>
    <row r="9" customFormat="false" ht="15" hidden="false" customHeight="false" outlineLevel="0" collapsed="false">
      <c r="A9" s="85" t="str">
        <f aca="false">IF(INDEX(Candidates!$A$1:$A$500,K9)="","",INDEX(Candidates!$A$1:$A$500,K9))</f>
        <v>Ted Logan</v>
      </c>
      <c r="B9" s="85" t="str">
        <f aca="false">IF(A9="","",INDEX(Candidates!$C$1:$C$500,K9))</f>
        <v>Back-End Developer</v>
      </c>
      <c r="C9" s="85" t="str">
        <f aca="false">IF(A9="","",INDEX(Candidates!$D$1:$D$500,K9))</f>
        <v>Software Developer</v>
      </c>
      <c r="D9" s="85" t="n">
        <f aca="false">IF(A9="","",L9)</f>
        <v>1</v>
      </c>
      <c r="E9" s="85" t="str">
        <f aca="false">IF(A9="","",INDEX($O$2:$O$8,L9))</f>
        <v>Resume Review</v>
      </c>
      <c r="F9" s="85" t="n">
        <f aca="false">IF(A9="","",IF(ISNUMBER(INDEX(Candidates!$A$1:$Z$500,K9,INDEX($P$2:$P$8,L9))),INDEX(Candidates!$A$1:$Z$500,K9,INDEX($P$2:$P$8,L9)),""))</f>
        <v>9</v>
      </c>
      <c r="G9" s="85" t="n">
        <f aca="false">IF(A9="","",INDEX($Q$2:$Q$8,L9))</f>
        <v>5</v>
      </c>
      <c r="H9" s="85" t="str">
        <f aca="false">IF(A9="","",IF(F9="","Not yet scored",IF(F9&gt;=G9,"Pass","Fail")))</f>
        <v>Pass</v>
      </c>
      <c r="I9" s="85" t="str">
        <f aca="false">IF(A9="","",INDEX(Candidates!$B$1:$B$500,K9))</f>
        <v>Write Technical Assessment</v>
      </c>
      <c r="K9" s="86" t="n">
        <f aca="false">INT((ROW()-2)/7)+2</f>
        <v>3</v>
      </c>
      <c r="L9" s="86" t="n">
        <f aca="false">MOD(ROW()-2,7)+1</f>
        <v>1</v>
      </c>
    </row>
    <row r="10" customFormat="false" ht="15" hidden="false" customHeight="false" outlineLevel="0" collapsed="false">
      <c r="A10" s="85" t="str">
        <f aca="false">IF(INDEX(Candidates!$A$1:$A$500,K10)="","",INDEX(Candidates!$A$1:$A$500,K10))</f>
        <v>Ted Logan</v>
      </c>
      <c r="B10" s="85" t="str">
        <f aca="false">IF(A10="","",INDEX(Candidates!$C$1:$C$500,K10))</f>
        <v>Back-End Developer</v>
      </c>
      <c r="C10" s="85" t="str">
        <f aca="false">IF(A10="","",INDEX(Candidates!$D$1:$D$500,K10))</f>
        <v>Software Developer</v>
      </c>
      <c r="D10" s="85" t="n">
        <f aca="false">IF(A10="","",L10)</f>
        <v>2</v>
      </c>
      <c r="E10" s="85" t="str">
        <f aca="false">IF(A10="","",INDEX($O$2:$O$8,L10))</f>
        <v>Tech Assessment</v>
      </c>
      <c r="F10" s="85" t="str">
        <f aca="false">IF(A10="","",IF(ISNUMBER(INDEX(Candidates!$A$1:$Z$500,K10,INDEX($P$2:$P$8,L10))),INDEX(Candidates!$A$1:$Z$500,K10,INDEX($P$2:$P$8,L10)),""))</f>
        <v/>
      </c>
      <c r="G10" s="85" t="n">
        <f aca="false">IF(A10="","",INDEX($Q$2:$Q$8,L10))</f>
        <v>7</v>
      </c>
      <c r="H10" s="85" t="str">
        <f aca="false">IF(A10="","",IF(F10="","Not yet scored",IF(F10&gt;=G10,"Pass","Fail")))</f>
        <v>Not yet scored</v>
      </c>
      <c r="I10" s="85" t="str">
        <f aca="false">IF(A10="","",INDEX(Candidates!$B$1:$B$500,K10))</f>
        <v>Write Technical Assessment</v>
      </c>
      <c r="K10" s="86" t="n">
        <f aca="false">INT((ROW()-2)/7)+2</f>
        <v>3</v>
      </c>
      <c r="L10" s="86" t="n">
        <f aca="false">MOD(ROW()-2,7)+1</f>
        <v>2</v>
      </c>
      <c r="N10" s="4" t="s">
        <v>199</v>
      </c>
    </row>
    <row r="11" customFormat="false" ht="15" hidden="false" customHeight="false" outlineLevel="0" collapsed="false">
      <c r="A11" s="85" t="str">
        <f aca="false">IF(INDEX(Candidates!$A$1:$A$500,K11)="","",INDEX(Candidates!$A$1:$A$500,K11))</f>
        <v>Ted Logan</v>
      </c>
      <c r="B11" s="85" t="str">
        <f aca="false">IF(A11="","",INDEX(Candidates!$C$1:$C$500,K11))</f>
        <v>Back-End Developer</v>
      </c>
      <c r="C11" s="85" t="str">
        <f aca="false">IF(A11="","",INDEX(Candidates!$D$1:$D$500,K11))</f>
        <v>Software Developer</v>
      </c>
      <c r="D11" s="85" t="n">
        <f aca="false">IF(A11="","",L11)</f>
        <v>3</v>
      </c>
      <c r="E11" s="85" t="str">
        <f aca="false">IF(A11="","",INDEX($O$2:$O$8,L11))</f>
        <v>Initial Meeting</v>
      </c>
      <c r="F11" s="85" t="n">
        <f aca="false">IF(A11="","",IF(ISNUMBER(INDEX(Candidates!$A$1:$Z$500,K11,INDEX($P$2:$P$8,L11))),INDEX(Candidates!$A$1:$Z$500,K11,INDEX($P$2:$P$8,L11)),""))</f>
        <v>6</v>
      </c>
      <c r="G11" s="85" t="n">
        <f aca="false">IF(A11="","",INDEX($Q$2:$Q$8,L11))</f>
        <v>6</v>
      </c>
      <c r="H11" s="85" t="str">
        <f aca="false">IF(A11="","",IF(F11="","Not yet scored",IF(F11&gt;=G11,"Pass","Fail")))</f>
        <v>Pass</v>
      </c>
      <c r="I11" s="85" t="str">
        <f aca="false">IF(A11="","",INDEX(Candidates!$B$1:$B$500,K11))</f>
        <v>Write Technical Assessment</v>
      </c>
      <c r="K11" s="86" t="n">
        <f aca="false">INT((ROW()-2)/7)+2</f>
        <v>3</v>
      </c>
      <c r="L11" s="86" t="n">
        <f aca="false">MOD(ROW()-2,7)+1</f>
        <v>3</v>
      </c>
      <c r="N11" s="4" t="s">
        <v>200</v>
      </c>
    </row>
    <row r="12" customFormat="false" ht="15" hidden="false" customHeight="false" outlineLevel="0" collapsed="false">
      <c r="A12" s="85" t="str">
        <f aca="false">IF(INDEX(Candidates!$A$1:$A$500,K12)="","",INDEX(Candidates!$A$1:$A$500,K12))</f>
        <v>Ted Logan</v>
      </c>
      <c r="B12" s="85" t="str">
        <f aca="false">IF(A12="","",INDEX(Candidates!$C$1:$C$500,K12))</f>
        <v>Back-End Developer</v>
      </c>
      <c r="C12" s="85" t="str">
        <f aca="false">IF(A12="","",INDEX(Candidates!$D$1:$D$500,K12))</f>
        <v>Software Developer</v>
      </c>
      <c r="D12" s="85" t="n">
        <f aca="false">IF(A12="","",L12)</f>
        <v>4</v>
      </c>
      <c r="E12" s="85" t="str">
        <f aca="false">IF(A12="","",INDEX($O$2:$O$8,L12))</f>
        <v>Portfolio</v>
      </c>
      <c r="F12" s="85" t="str">
        <f aca="false">IF(A12="","",IF(ISNUMBER(INDEX(Candidates!$A$1:$Z$500,K12,INDEX($P$2:$P$8,L12))),INDEX(Candidates!$A$1:$Z$500,K12,INDEX($P$2:$P$8,L12)),""))</f>
        <v/>
      </c>
      <c r="G12" s="85" t="n">
        <f aca="false">IF(A12="","",INDEX($Q$2:$Q$8,L12))</f>
        <v>7</v>
      </c>
      <c r="H12" s="85" t="str">
        <f aca="false">IF(A12="","",IF(F12="","Not yet scored",IF(F12&gt;=G12,"Pass","Fail")))</f>
        <v>Not yet scored</v>
      </c>
      <c r="I12" s="85" t="str">
        <f aca="false">IF(A12="","",INDEX(Candidates!$B$1:$B$500,K12))</f>
        <v>Write Technical Assessment</v>
      </c>
      <c r="K12" s="86" t="n">
        <f aca="false">INT((ROW()-2)/7)+2</f>
        <v>3</v>
      </c>
      <c r="L12" s="86" t="n">
        <f aca="false">MOD(ROW()-2,7)+1</f>
        <v>4</v>
      </c>
      <c r="N12" s="4" t="s">
        <v>201</v>
      </c>
    </row>
    <row r="13" customFormat="false" ht="15" hidden="false" customHeight="false" outlineLevel="0" collapsed="false">
      <c r="A13" s="85" t="str">
        <f aca="false">IF(INDEX(Candidates!$A$1:$A$500,K13)="","",INDEX(Candidates!$A$1:$A$500,K13))</f>
        <v>Ted Logan</v>
      </c>
      <c r="B13" s="85" t="str">
        <f aca="false">IF(A13="","",INDEX(Candidates!$C$1:$C$500,K13))</f>
        <v>Back-End Developer</v>
      </c>
      <c r="C13" s="85" t="str">
        <f aca="false">IF(A13="","",INDEX(Candidates!$D$1:$D$500,K13))</f>
        <v>Software Developer</v>
      </c>
      <c r="D13" s="85" t="n">
        <f aca="false">IF(A13="","",L13)</f>
        <v>5</v>
      </c>
      <c r="E13" s="85" t="str">
        <f aca="false">IF(A13="","",INDEX($O$2:$O$8,L13))</f>
        <v>Personality Assessment</v>
      </c>
      <c r="F13" s="85" t="str">
        <f aca="false">IF(A13="","",IF(ISNUMBER(INDEX(Candidates!$A$1:$Z$500,K13,INDEX($P$2:$P$8,L13))),INDEX(Candidates!$A$1:$Z$500,K13,INDEX($P$2:$P$8,L13)),""))</f>
        <v/>
      </c>
      <c r="G13" s="85" t="n">
        <f aca="false">IF(A13="","",INDEX($Q$2:$Q$8,L13))</f>
        <v>6</v>
      </c>
      <c r="H13" s="85" t="str">
        <f aca="false">IF(A13="","",IF(F13="","Not yet scored",IF(F13&gt;=G13,"Pass","Fail")))</f>
        <v>Not yet scored</v>
      </c>
      <c r="I13" s="85" t="str">
        <f aca="false">IF(A13="","",INDEX(Candidates!$B$1:$B$500,K13))</f>
        <v>Write Technical Assessment</v>
      </c>
      <c r="K13" s="86" t="n">
        <f aca="false">INT((ROW()-2)/7)+2</f>
        <v>3</v>
      </c>
      <c r="L13" s="86" t="n">
        <f aca="false">MOD(ROW()-2,7)+1</f>
        <v>5</v>
      </c>
    </row>
    <row r="14" customFormat="false" ht="15" hidden="false" customHeight="false" outlineLevel="0" collapsed="false">
      <c r="A14" s="85" t="str">
        <f aca="false">IF(INDEX(Candidates!$A$1:$A$500,K14)="","",INDEX(Candidates!$A$1:$A$500,K14))</f>
        <v>Ted Logan</v>
      </c>
      <c r="B14" s="85" t="str">
        <f aca="false">IF(A14="","",INDEX(Candidates!$C$1:$C$500,K14))</f>
        <v>Back-End Developer</v>
      </c>
      <c r="C14" s="85" t="str">
        <f aca="false">IF(A14="","",INDEX(Candidates!$D$1:$D$500,K14))</f>
        <v>Software Developer</v>
      </c>
      <c r="D14" s="85" t="n">
        <f aca="false">IF(A14="","",L14)</f>
        <v>6</v>
      </c>
      <c r="E14" s="85" t="str">
        <f aca="false">IF(A14="","",INDEX($O$2:$O$8,L14))</f>
        <v>Technical Interview</v>
      </c>
      <c r="F14" s="85" t="str">
        <f aca="false">IF(A14="","",IF(ISNUMBER(INDEX(Candidates!$A$1:$Z$500,K14,INDEX($P$2:$P$8,L14))),INDEX(Candidates!$A$1:$Z$500,K14,INDEX($P$2:$P$8,L14)),""))</f>
        <v/>
      </c>
      <c r="G14" s="85" t="n">
        <f aca="false">IF(A14="","",INDEX($Q$2:$Q$8,L14))</f>
        <v>8</v>
      </c>
      <c r="H14" s="85" t="str">
        <f aca="false">IF(A14="","",IF(F14="","Not yet scored",IF(F14&gt;=G14,"Pass","Fail")))</f>
        <v>Not yet scored</v>
      </c>
      <c r="I14" s="85" t="str">
        <f aca="false">IF(A14="","",INDEX(Candidates!$B$1:$B$500,K14))</f>
        <v>Write Technical Assessment</v>
      </c>
      <c r="K14" s="86" t="n">
        <f aca="false">INT((ROW()-2)/7)+2</f>
        <v>3</v>
      </c>
      <c r="L14" s="86" t="n">
        <f aca="false">MOD(ROW()-2,7)+1</f>
        <v>6</v>
      </c>
    </row>
    <row r="15" customFormat="false" ht="15" hidden="false" customHeight="false" outlineLevel="0" collapsed="false">
      <c r="A15" s="85" t="str">
        <f aca="false">IF(INDEX(Candidates!$A$1:$A$500,K15)="","",INDEX(Candidates!$A$1:$A$500,K15))</f>
        <v>Ted Logan</v>
      </c>
      <c r="B15" s="85" t="str">
        <f aca="false">IF(A15="","",INDEX(Candidates!$C$1:$C$500,K15))</f>
        <v>Back-End Developer</v>
      </c>
      <c r="C15" s="85" t="str">
        <f aca="false">IF(A15="","",INDEX(Candidates!$D$1:$D$500,K15))</f>
        <v>Software Developer</v>
      </c>
      <c r="D15" s="85" t="n">
        <f aca="false">IF(A15="","",L15)</f>
        <v>7</v>
      </c>
      <c r="E15" s="85" t="str">
        <f aca="false">IF(A15="","",INDEX($O$2:$O$8,L15))</f>
        <v>Final Interview</v>
      </c>
      <c r="F15" s="85" t="n">
        <f aca="false">IF(A15="","",IF(ISNUMBER(INDEX(Candidates!$A$1:$Z$500,K15,INDEX($P$2:$P$8,L15))),INDEX(Candidates!$A$1:$Z$500,K15,INDEX($P$2:$P$8,L15)),""))</f>
        <v>22</v>
      </c>
      <c r="G15" s="85" t="n">
        <f aca="false">IF(A15="","",INDEX($Q$2:$Q$8,L15))</f>
        <v>8</v>
      </c>
      <c r="H15" s="85" t="str">
        <f aca="false">IF(A15="","",IF(F15="","Not yet scored",IF(F15&gt;=G15,"Pass","Fail")))</f>
        <v>Pass</v>
      </c>
      <c r="I15" s="85" t="str">
        <f aca="false">IF(A15="","",INDEX(Candidates!$B$1:$B$500,K15))</f>
        <v>Write Technical Assessment</v>
      </c>
      <c r="K15" s="86" t="n">
        <f aca="false">INT((ROW()-2)/7)+2</f>
        <v>3</v>
      </c>
      <c r="L15" s="86" t="n">
        <f aca="false">MOD(ROW()-2,7)+1</f>
        <v>7</v>
      </c>
    </row>
    <row r="16" customFormat="false" ht="15" hidden="false" customHeight="false" outlineLevel="0" collapsed="false">
      <c r="A16" s="85" t="str">
        <f aca="false">IF(INDEX(Candidates!$A$1:$A$500,K16)="","",INDEX(Candidates!$A$1:$A$500,K16))</f>
        <v>Wuce Brayne</v>
      </c>
      <c r="B16" s="85" t="str">
        <f aca="false">IF(A16="","",INDEX(Candidates!$C$1:$C$500,K16))</f>
        <v>Infrastructure Developer</v>
      </c>
      <c r="C16" s="85" t="str">
        <f aca="false">IF(A16="","",INDEX(Candidates!$D$1:$D$500,K16))</f>
        <v>Software Developer</v>
      </c>
      <c r="D16" s="85" t="n">
        <f aca="false">IF(A16="","",L16)</f>
        <v>1</v>
      </c>
      <c r="E16" s="85" t="str">
        <f aca="false">IF(A16="","",INDEX($O$2:$O$8,L16))</f>
        <v>Resume Review</v>
      </c>
      <c r="F16" s="85" t="n">
        <f aca="false">IF(A16="","",IF(ISNUMBER(INDEX(Candidates!$A$1:$Z$500,K16,INDEX($P$2:$P$8,L16))),INDEX(Candidates!$A$1:$Z$500,K16,INDEX($P$2:$P$8,L16)),""))</f>
        <v>4</v>
      </c>
      <c r="G16" s="85" t="n">
        <f aca="false">IF(A16="","",INDEX($Q$2:$Q$8,L16))</f>
        <v>5</v>
      </c>
      <c r="H16" s="85" t="str">
        <f aca="false">IF(A16="","",IF(F16="","Not yet scored",IF(F16&gt;=G16,"Pass","Fail")))</f>
        <v>Fail</v>
      </c>
      <c r="I16" s="85" t="str">
        <f aca="false">IF(A16="","",INDEX(Candidates!$B$1:$B$500,K16))</f>
        <v>FAIL</v>
      </c>
      <c r="K16" s="86" t="n">
        <f aca="false">INT((ROW()-2)/7)+2</f>
        <v>4</v>
      </c>
      <c r="L16" s="86" t="n">
        <f aca="false">MOD(ROW()-2,7)+1</f>
        <v>1</v>
      </c>
    </row>
    <row r="17" customFormat="false" ht="15" hidden="false" customHeight="false" outlineLevel="0" collapsed="false">
      <c r="A17" s="85" t="str">
        <f aca="false">IF(INDEX(Candidates!$A$1:$A$500,K17)="","",INDEX(Candidates!$A$1:$A$500,K17))</f>
        <v>Wuce Brayne</v>
      </c>
      <c r="B17" s="85" t="str">
        <f aca="false">IF(A17="","",INDEX(Candidates!$C$1:$C$500,K17))</f>
        <v>Infrastructure Developer</v>
      </c>
      <c r="C17" s="85" t="str">
        <f aca="false">IF(A17="","",INDEX(Candidates!$D$1:$D$500,K17))</f>
        <v>Software Developer</v>
      </c>
      <c r="D17" s="85" t="n">
        <f aca="false">IF(A17="","",L17)</f>
        <v>2</v>
      </c>
      <c r="E17" s="85" t="str">
        <f aca="false">IF(A17="","",INDEX($O$2:$O$8,L17))</f>
        <v>Tech Assessment</v>
      </c>
      <c r="F17" s="85" t="n">
        <f aca="false">IF(A17="","",IF(ISNUMBER(INDEX(Candidates!$A$1:$Z$500,K17,INDEX($P$2:$P$8,L17))),INDEX(Candidates!$A$1:$Z$500,K17,INDEX($P$2:$P$8,L17)),""))</f>
        <v>1</v>
      </c>
      <c r="G17" s="85" t="n">
        <f aca="false">IF(A17="","",INDEX($Q$2:$Q$8,L17))</f>
        <v>7</v>
      </c>
      <c r="H17" s="85" t="str">
        <f aca="false">IF(A17="","",IF(F17="","Not yet scored",IF(F17&gt;=G17,"Pass","Fail")))</f>
        <v>Fail</v>
      </c>
      <c r="I17" s="85" t="str">
        <f aca="false">IF(A17="","",INDEX(Candidates!$B$1:$B$500,K17))</f>
        <v>FAIL</v>
      </c>
      <c r="K17" s="86" t="n">
        <f aca="false">INT((ROW()-2)/7)+2</f>
        <v>4</v>
      </c>
      <c r="L17" s="86" t="n">
        <f aca="false">MOD(ROW()-2,7)+1</f>
        <v>2</v>
      </c>
    </row>
    <row r="18" customFormat="false" ht="15" hidden="false" customHeight="false" outlineLevel="0" collapsed="false">
      <c r="A18" s="85" t="str">
        <f aca="false">IF(INDEX(Candidates!$A$1:$A$500,K18)="","",INDEX(Candidates!$A$1:$A$500,K18))</f>
        <v>Wuce Brayne</v>
      </c>
      <c r="B18" s="85" t="str">
        <f aca="false">IF(A18="","",INDEX(Candidates!$C$1:$C$500,K18))</f>
        <v>Infrastructure Developer</v>
      </c>
      <c r="C18" s="85" t="str">
        <f aca="false">IF(A18="","",INDEX(Candidates!$D$1:$D$500,K18))</f>
        <v>Software Developer</v>
      </c>
      <c r="D18" s="85" t="n">
        <f aca="false">IF(A18="","",L18)</f>
        <v>3</v>
      </c>
      <c r="E18" s="85" t="str">
        <f aca="false">IF(A18="","",INDEX($O$2:$O$8,L18))</f>
        <v>Initial Meeting</v>
      </c>
      <c r="F18" s="85" t="str">
        <f aca="false">IF(A18="","",IF(ISNUMBER(INDEX(Candidates!$A$1:$Z$500,K18,INDEX($P$2:$P$8,L18))),INDEX(Candidates!$A$1:$Z$500,K18,INDEX($P$2:$P$8,L18)),""))</f>
        <v/>
      </c>
      <c r="G18" s="85" t="n">
        <f aca="false">IF(A18="","",INDEX($Q$2:$Q$8,L18))</f>
        <v>6</v>
      </c>
      <c r="H18" s="85" t="str">
        <f aca="false">IF(A18="","",IF(F18="","Not yet scored",IF(F18&gt;=G18,"Pass","Fail")))</f>
        <v>Not yet scored</v>
      </c>
      <c r="I18" s="85" t="str">
        <f aca="false">IF(A18="","",INDEX(Candidates!$B$1:$B$500,K18))</f>
        <v>FAIL</v>
      </c>
      <c r="K18" s="86" t="n">
        <f aca="false">INT((ROW()-2)/7)+2</f>
        <v>4</v>
      </c>
      <c r="L18" s="86" t="n">
        <f aca="false">MOD(ROW()-2,7)+1</f>
        <v>3</v>
      </c>
    </row>
    <row r="19" customFormat="false" ht="15" hidden="false" customHeight="false" outlineLevel="0" collapsed="false">
      <c r="A19" s="85" t="str">
        <f aca="false">IF(INDEX(Candidates!$A$1:$A$500,K19)="","",INDEX(Candidates!$A$1:$A$500,K19))</f>
        <v>Wuce Brayne</v>
      </c>
      <c r="B19" s="85" t="str">
        <f aca="false">IF(A19="","",INDEX(Candidates!$C$1:$C$500,K19))</f>
        <v>Infrastructure Developer</v>
      </c>
      <c r="C19" s="85" t="str">
        <f aca="false">IF(A19="","",INDEX(Candidates!$D$1:$D$500,K19))</f>
        <v>Software Developer</v>
      </c>
      <c r="D19" s="85" t="n">
        <f aca="false">IF(A19="","",L19)</f>
        <v>4</v>
      </c>
      <c r="E19" s="85" t="str">
        <f aca="false">IF(A19="","",INDEX($O$2:$O$8,L19))</f>
        <v>Portfolio</v>
      </c>
      <c r="F19" s="85" t="str">
        <f aca="false">IF(A19="","",IF(ISNUMBER(INDEX(Candidates!$A$1:$Z$500,K19,INDEX($P$2:$P$8,L19))),INDEX(Candidates!$A$1:$Z$500,K19,INDEX($P$2:$P$8,L19)),""))</f>
        <v/>
      </c>
      <c r="G19" s="85" t="n">
        <f aca="false">IF(A19="","",INDEX($Q$2:$Q$8,L19))</f>
        <v>7</v>
      </c>
      <c r="H19" s="85" t="str">
        <f aca="false">IF(A19="","",IF(F19="","Not yet scored",IF(F19&gt;=G19,"Pass","Fail")))</f>
        <v>Not yet scored</v>
      </c>
      <c r="I19" s="85" t="str">
        <f aca="false">IF(A19="","",INDEX(Candidates!$B$1:$B$500,K19))</f>
        <v>FAIL</v>
      </c>
      <c r="K19" s="86" t="n">
        <f aca="false">INT((ROW()-2)/7)+2</f>
        <v>4</v>
      </c>
      <c r="L19" s="86" t="n">
        <f aca="false">MOD(ROW()-2,7)+1</f>
        <v>4</v>
      </c>
    </row>
    <row r="20" customFormat="false" ht="15" hidden="false" customHeight="false" outlineLevel="0" collapsed="false">
      <c r="A20" s="85" t="str">
        <f aca="false">IF(INDEX(Candidates!$A$1:$A$500,K20)="","",INDEX(Candidates!$A$1:$A$500,K20))</f>
        <v>Wuce Brayne</v>
      </c>
      <c r="B20" s="85" t="str">
        <f aca="false">IF(A20="","",INDEX(Candidates!$C$1:$C$500,K20))</f>
        <v>Infrastructure Developer</v>
      </c>
      <c r="C20" s="85" t="str">
        <f aca="false">IF(A20="","",INDEX(Candidates!$D$1:$D$500,K20))</f>
        <v>Software Developer</v>
      </c>
      <c r="D20" s="85" t="n">
        <f aca="false">IF(A20="","",L20)</f>
        <v>5</v>
      </c>
      <c r="E20" s="85" t="str">
        <f aca="false">IF(A20="","",INDEX($O$2:$O$8,L20))</f>
        <v>Personality Assessment</v>
      </c>
      <c r="F20" s="85" t="str">
        <f aca="false">IF(A20="","",IF(ISNUMBER(INDEX(Candidates!$A$1:$Z$500,K20,INDEX($P$2:$P$8,L20))),INDEX(Candidates!$A$1:$Z$500,K20,INDEX($P$2:$P$8,L20)),""))</f>
        <v/>
      </c>
      <c r="G20" s="85" t="n">
        <f aca="false">IF(A20="","",INDEX($Q$2:$Q$8,L20))</f>
        <v>6</v>
      </c>
      <c r="H20" s="85" t="str">
        <f aca="false">IF(A20="","",IF(F20="","Not yet scored",IF(F20&gt;=G20,"Pass","Fail")))</f>
        <v>Not yet scored</v>
      </c>
      <c r="I20" s="85" t="str">
        <f aca="false">IF(A20="","",INDEX(Candidates!$B$1:$B$500,K20))</f>
        <v>FAIL</v>
      </c>
      <c r="K20" s="86" t="n">
        <f aca="false">INT((ROW()-2)/7)+2</f>
        <v>4</v>
      </c>
      <c r="L20" s="86" t="n">
        <f aca="false">MOD(ROW()-2,7)+1</f>
        <v>5</v>
      </c>
    </row>
    <row r="21" customFormat="false" ht="15" hidden="false" customHeight="false" outlineLevel="0" collapsed="false">
      <c r="A21" s="85" t="str">
        <f aca="false">IF(INDEX(Candidates!$A$1:$A$500,K21)="","",INDEX(Candidates!$A$1:$A$500,K21))</f>
        <v>Wuce Brayne</v>
      </c>
      <c r="B21" s="85" t="str">
        <f aca="false">IF(A21="","",INDEX(Candidates!$C$1:$C$500,K21))</f>
        <v>Infrastructure Developer</v>
      </c>
      <c r="C21" s="85" t="str">
        <f aca="false">IF(A21="","",INDEX(Candidates!$D$1:$D$500,K21))</f>
        <v>Software Developer</v>
      </c>
      <c r="D21" s="85" t="n">
        <f aca="false">IF(A21="","",L21)</f>
        <v>6</v>
      </c>
      <c r="E21" s="85" t="str">
        <f aca="false">IF(A21="","",INDEX($O$2:$O$8,L21))</f>
        <v>Technical Interview</v>
      </c>
      <c r="F21" s="85" t="str">
        <f aca="false">IF(A21="","",IF(ISNUMBER(INDEX(Candidates!$A$1:$Z$500,K21,INDEX($P$2:$P$8,L21))),INDEX(Candidates!$A$1:$Z$500,K21,INDEX($P$2:$P$8,L21)),""))</f>
        <v/>
      </c>
      <c r="G21" s="85" t="n">
        <f aca="false">IF(A21="","",INDEX($Q$2:$Q$8,L21))</f>
        <v>8</v>
      </c>
      <c r="H21" s="85" t="str">
        <f aca="false">IF(A21="","",IF(F21="","Not yet scored",IF(F21&gt;=G21,"Pass","Fail")))</f>
        <v>Not yet scored</v>
      </c>
      <c r="I21" s="85" t="str">
        <f aca="false">IF(A21="","",INDEX(Candidates!$B$1:$B$500,K21))</f>
        <v>FAIL</v>
      </c>
      <c r="K21" s="86" t="n">
        <f aca="false">INT((ROW()-2)/7)+2</f>
        <v>4</v>
      </c>
      <c r="L21" s="86" t="n">
        <f aca="false">MOD(ROW()-2,7)+1</f>
        <v>6</v>
      </c>
    </row>
    <row r="22" customFormat="false" ht="15" hidden="false" customHeight="false" outlineLevel="0" collapsed="false">
      <c r="A22" s="85" t="str">
        <f aca="false">IF(INDEX(Candidates!$A$1:$A$500,K22)="","",INDEX(Candidates!$A$1:$A$500,K22))</f>
        <v>Wuce Brayne</v>
      </c>
      <c r="B22" s="85" t="str">
        <f aca="false">IF(A22="","",INDEX(Candidates!$C$1:$C$500,K22))</f>
        <v>Infrastructure Developer</v>
      </c>
      <c r="C22" s="85" t="str">
        <f aca="false">IF(A22="","",INDEX(Candidates!$D$1:$D$500,K22))</f>
        <v>Software Developer</v>
      </c>
      <c r="D22" s="85" t="n">
        <f aca="false">IF(A22="","",L22)</f>
        <v>7</v>
      </c>
      <c r="E22" s="85" t="str">
        <f aca="false">IF(A22="","",INDEX($O$2:$O$8,L22))</f>
        <v>Final Interview</v>
      </c>
      <c r="F22" s="85" t="str">
        <f aca="false">IF(A22="","",IF(ISNUMBER(INDEX(Candidates!$A$1:$Z$500,K22,INDEX($P$2:$P$8,L22))),INDEX(Candidates!$A$1:$Z$500,K22,INDEX($P$2:$P$8,L22)),""))</f>
        <v/>
      </c>
      <c r="G22" s="85" t="n">
        <f aca="false">IF(A22="","",INDEX($Q$2:$Q$8,L22))</f>
        <v>8</v>
      </c>
      <c r="H22" s="85" t="str">
        <f aca="false">IF(A22="","",IF(F22="","Not yet scored",IF(F22&gt;=G22,"Pass","Fail")))</f>
        <v>Not yet scored</v>
      </c>
      <c r="I22" s="85" t="str">
        <f aca="false">IF(A22="","",INDEX(Candidates!$B$1:$B$500,K22))</f>
        <v>FAIL</v>
      </c>
      <c r="K22" s="86" t="n">
        <f aca="false">INT((ROW()-2)/7)+2</f>
        <v>4</v>
      </c>
      <c r="L22" s="86" t="n">
        <f aca="false">MOD(ROW()-2,7)+1</f>
        <v>7</v>
      </c>
    </row>
    <row r="23" customFormat="false" ht="15" hidden="false" customHeight="false" outlineLevel="0" collapsed="false">
      <c r="A23" s="85" t="str">
        <f aca="false">IF(INDEX(Candidates!$A$1:$A$500,K23)="","",INDEX(Candidates!$A$1:$A$500,K23))</f>
        <v>Kark Clent</v>
      </c>
      <c r="B23" s="85" t="str">
        <f aca="false">IF(A23="","",INDEX(Candidates!$C$1:$C$500,K23))</f>
        <v>UI Designer</v>
      </c>
      <c r="C23" s="85" t="str">
        <f aca="false">IF(A23="","",INDEX(Candidates!$D$1:$D$500,K23))</f>
        <v>Graphic Designer</v>
      </c>
      <c r="D23" s="85" t="n">
        <f aca="false">IF(A23="","",L23)</f>
        <v>1</v>
      </c>
      <c r="E23" s="85" t="str">
        <f aca="false">IF(A23="","",INDEX($O$2:$O$8,L23))</f>
        <v>Resume Review</v>
      </c>
      <c r="F23" s="85" t="n">
        <f aca="false">IF(A23="","",IF(ISNUMBER(INDEX(Candidates!$A$1:$Z$500,K23,INDEX($P$2:$P$8,L23))),INDEX(Candidates!$A$1:$Z$500,K23,INDEX($P$2:$P$8,L23)),""))</f>
        <v>7</v>
      </c>
      <c r="G23" s="85" t="n">
        <f aca="false">IF(A23="","",INDEX($Q$2:$Q$8,L23))</f>
        <v>5</v>
      </c>
      <c r="H23" s="85" t="str">
        <f aca="false">IF(A23="","",IF(F23="","Not yet scored",IF(F23&gt;=G23,"Pass","Fail")))</f>
        <v>Pass</v>
      </c>
      <c r="I23" s="85" t="str">
        <f aca="false">IF(A23="","",INDEX(Candidates!$B$1:$B$500,K23))</f>
        <v>Send Portfolio</v>
      </c>
      <c r="K23" s="86" t="n">
        <f aca="false">INT((ROW()-2)/7)+2</f>
        <v>5</v>
      </c>
      <c r="L23" s="86" t="n">
        <f aca="false">MOD(ROW()-2,7)+1</f>
        <v>1</v>
      </c>
    </row>
    <row r="24" customFormat="false" ht="15" hidden="false" customHeight="false" outlineLevel="0" collapsed="false">
      <c r="A24" s="85" t="str">
        <f aca="false">IF(INDEX(Candidates!$A$1:$A$500,K24)="","",INDEX(Candidates!$A$1:$A$500,K24))</f>
        <v>Kark Clent</v>
      </c>
      <c r="B24" s="85" t="str">
        <f aca="false">IF(A24="","",INDEX(Candidates!$C$1:$C$500,K24))</f>
        <v>UI Designer</v>
      </c>
      <c r="C24" s="85" t="str">
        <f aca="false">IF(A24="","",INDEX(Candidates!$D$1:$D$500,K24))</f>
        <v>Graphic Designer</v>
      </c>
      <c r="D24" s="85" t="n">
        <f aca="false">IF(A24="","",L24)</f>
        <v>2</v>
      </c>
      <c r="E24" s="85" t="str">
        <f aca="false">IF(A24="","",INDEX($O$2:$O$8,L24))</f>
        <v>Tech Assessment</v>
      </c>
      <c r="F24" s="85" t="str">
        <f aca="false">IF(A24="","",IF(ISNUMBER(INDEX(Candidates!$A$1:$Z$500,K24,INDEX($P$2:$P$8,L24))),INDEX(Candidates!$A$1:$Z$500,K24,INDEX($P$2:$P$8,L24)),""))</f>
        <v/>
      </c>
      <c r="G24" s="85" t="n">
        <f aca="false">IF(A24="","",INDEX($Q$2:$Q$8,L24))</f>
        <v>7</v>
      </c>
      <c r="H24" s="85" t="str">
        <f aca="false">IF(A24="","",IF(F24="","Not yet scored",IF(F24&gt;=G24,"Pass","Fail")))</f>
        <v>Not yet scored</v>
      </c>
      <c r="I24" s="85" t="str">
        <f aca="false">IF(A24="","",INDEX(Candidates!$B$1:$B$500,K24))</f>
        <v>Send Portfolio</v>
      </c>
      <c r="K24" s="86" t="n">
        <f aca="false">INT((ROW()-2)/7)+2</f>
        <v>5</v>
      </c>
      <c r="L24" s="86" t="n">
        <f aca="false">MOD(ROW()-2,7)+1</f>
        <v>2</v>
      </c>
    </row>
    <row r="25" customFormat="false" ht="15" hidden="false" customHeight="false" outlineLevel="0" collapsed="false">
      <c r="A25" s="85" t="str">
        <f aca="false">IF(INDEX(Candidates!$A$1:$A$500,K25)="","",INDEX(Candidates!$A$1:$A$500,K25))</f>
        <v>Kark Clent</v>
      </c>
      <c r="B25" s="85" t="str">
        <f aca="false">IF(A25="","",INDEX(Candidates!$C$1:$C$500,K25))</f>
        <v>UI Designer</v>
      </c>
      <c r="C25" s="85" t="str">
        <f aca="false">IF(A25="","",INDEX(Candidates!$D$1:$D$500,K25))</f>
        <v>Graphic Designer</v>
      </c>
      <c r="D25" s="85" t="n">
        <f aca="false">IF(A25="","",L25)</f>
        <v>3</v>
      </c>
      <c r="E25" s="85" t="str">
        <f aca="false">IF(A25="","",INDEX($O$2:$O$8,L25))</f>
        <v>Initial Meeting</v>
      </c>
      <c r="F25" s="85" t="str">
        <f aca="false">IF(A25="","",IF(ISNUMBER(INDEX(Candidates!$A$1:$Z$500,K25,INDEX($P$2:$P$8,L25))),INDEX(Candidates!$A$1:$Z$500,K25,INDEX($P$2:$P$8,L25)),""))</f>
        <v/>
      </c>
      <c r="G25" s="85" t="n">
        <f aca="false">IF(A25="","",INDEX($Q$2:$Q$8,L25))</f>
        <v>6</v>
      </c>
      <c r="H25" s="85" t="str">
        <f aca="false">IF(A25="","",IF(F25="","Not yet scored",IF(F25&gt;=G25,"Pass","Fail")))</f>
        <v>Not yet scored</v>
      </c>
      <c r="I25" s="85" t="str">
        <f aca="false">IF(A25="","",INDEX(Candidates!$B$1:$B$500,K25))</f>
        <v>Send Portfolio</v>
      </c>
      <c r="K25" s="86" t="n">
        <f aca="false">INT((ROW()-2)/7)+2</f>
        <v>5</v>
      </c>
      <c r="L25" s="86" t="n">
        <f aca="false">MOD(ROW()-2,7)+1</f>
        <v>3</v>
      </c>
    </row>
    <row r="26" customFormat="false" ht="15" hidden="false" customHeight="false" outlineLevel="0" collapsed="false">
      <c r="A26" s="85" t="str">
        <f aca="false">IF(INDEX(Candidates!$A$1:$A$500,K26)="","",INDEX(Candidates!$A$1:$A$500,K26))</f>
        <v>Kark Clent</v>
      </c>
      <c r="B26" s="85" t="str">
        <f aca="false">IF(A26="","",INDEX(Candidates!$C$1:$C$500,K26))</f>
        <v>UI Designer</v>
      </c>
      <c r="C26" s="85" t="str">
        <f aca="false">IF(A26="","",INDEX(Candidates!$D$1:$D$500,K26))</f>
        <v>Graphic Designer</v>
      </c>
      <c r="D26" s="85" t="n">
        <f aca="false">IF(A26="","",L26)</f>
        <v>4</v>
      </c>
      <c r="E26" s="85" t="str">
        <f aca="false">IF(A26="","",INDEX($O$2:$O$8,L26))</f>
        <v>Portfolio</v>
      </c>
      <c r="F26" s="85" t="str">
        <f aca="false">IF(A26="","",IF(ISNUMBER(INDEX(Candidates!$A$1:$Z$500,K26,INDEX($P$2:$P$8,L26))),INDEX(Candidates!$A$1:$Z$500,K26,INDEX($P$2:$P$8,L26)),""))</f>
        <v/>
      </c>
      <c r="G26" s="85" t="n">
        <f aca="false">IF(A26="","",INDEX($Q$2:$Q$8,L26))</f>
        <v>7</v>
      </c>
      <c r="H26" s="85" t="str">
        <f aca="false">IF(A26="","",IF(F26="","Not yet scored",IF(F26&gt;=G26,"Pass","Fail")))</f>
        <v>Not yet scored</v>
      </c>
      <c r="I26" s="85" t="str">
        <f aca="false">IF(A26="","",INDEX(Candidates!$B$1:$B$500,K26))</f>
        <v>Send Portfolio</v>
      </c>
      <c r="K26" s="86" t="n">
        <f aca="false">INT((ROW()-2)/7)+2</f>
        <v>5</v>
      </c>
      <c r="L26" s="86" t="n">
        <f aca="false">MOD(ROW()-2,7)+1</f>
        <v>4</v>
      </c>
    </row>
    <row r="27" customFormat="false" ht="15" hidden="false" customHeight="false" outlineLevel="0" collapsed="false">
      <c r="A27" s="85" t="str">
        <f aca="false">IF(INDEX(Candidates!$A$1:$A$500,K27)="","",INDEX(Candidates!$A$1:$A$500,K27))</f>
        <v>Kark Clent</v>
      </c>
      <c r="B27" s="85" t="str">
        <f aca="false">IF(A27="","",INDEX(Candidates!$C$1:$C$500,K27))</f>
        <v>UI Designer</v>
      </c>
      <c r="C27" s="85" t="str">
        <f aca="false">IF(A27="","",INDEX(Candidates!$D$1:$D$500,K27))</f>
        <v>Graphic Designer</v>
      </c>
      <c r="D27" s="85" t="n">
        <f aca="false">IF(A27="","",L27)</f>
        <v>5</v>
      </c>
      <c r="E27" s="85" t="str">
        <f aca="false">IF(A27="","",INDEX($O$2:$O$8,L27))</f>
        <v>Personality Assessment</v>
      </c>
      <c r="F27" s="85" t="n">
        <f aca="false">IF(A27="","",IF(ISNUMBER(INDEX(Candidates!$A$1:$Z$500,K27,INDEX($P$2:$P$8,L27))),INDEX(Candidates!$A$1:$Z$500,K27,INDEX($P$2:$P$8,L27)),""))</f>
        <v>7</v>
      </c>
      <c r="G27" s="85" t="n">
        <f aca="false">IF(A27="","",INDEX($Q$2:$Q$8,L27))</f>
        <v>6</v>
      </c>
      <c r="H27" s="85" t="str">
        <f aca="false">IF(A27="","",IF(F27="","Not yet scored",IF(F27&gt;=G27,"Pass","Fail")))</f>
        <v>Pass</v>
      </c>
      <c r="I27" s="85" t="str">
        <f aca="false">IF(A27="","",INDEX(Candidates!$B$1:$B$500,K27))</f>
        <v>Send Portfolio</v>
      </c>
      <c r="K27" s="86" t="n">
        <f aca="false">INT((ROW()-2)/7)+2</f>
        <v>5</v>
      </c>
      <c r="L27" s="86" t="n">
        <f aca="false">MOD(ROW()-2,7)+1</f>
        <v>5</v>
      </c>
    </row>
    <row r="28" customFormat="false" ht="15" hidden="false" customHeight="false" outlineLevel="0" collapsed="false">
      <c r="A28" s="85" t="str">
        <f aca="false">IF(INDEX(Candidates!$A$1:$A$500,K28)="","",INDEX(Candidates!$A$1:$A$500,K28))</f>
        <v>Kark Clent</v>
      </c>
      <c r="B28" s="85" t="str">
        <f aca="false">IF(A28="","",INDEX(Candidates!$C$1:$C$500,K28))</f>
        <v>UI Designer</v>
      </c>
      <c r="C28" s="85" t="str">
        <f aca="false">IF(A28="","",INDEX(Candidates!$D$1:$D$500,K28))</f>
        <v>Graphic Designer</v>
      </c>
      <c r="D28" s="85" t="n">
        <f aca="false">IF(A28="","",L28)</f>
        <v>6</v>
      </c>
      <c r="E28" s="85" t="str">
        <f aca="false">IF(A28="","",INDEX($O$2:$O$8,L28))</f>
        <v>Technical Interview</v>
      </c>
      <c r="F28" s="85" t="str">
        <f aca="false">IF(A28="","",IF(ISNUMBER(INDEX(Candidates!$A$1:$Z$500,K28,INDEX($P$2:$P$8,L28))),INDEX(Candidates!$A$1:$Z$500,K28,INDEX($P$2:$P$8,L28)),""))</f>
        <v/>
      </c>
      <c r="G28" s="85" t="n">
        <f aca="false">IF(A28="","",INDEX($Q$2:$Q$8,L28))</f>
        <v>8</v>
      </c>
      <c r="H28" s="85" t="str">
        <f aca="false">IF(A28="","",IF(F28="","Not yet scored",IF(F28&gt;=G28,"Pass","Fail")))</f>
        <v>Not yet scored</v>
      </c>
      <c r="I28" s="85" t="str">
        <f aca="false">IF(A28="","",INDEX(Candidates!$B$1:$B$500,K28))</f>
        <v>Send Portfolio</v>
      </c>
      <c r="K28" s="86" t="n">
        <f aca="false">INT((ROW()-2)/7)+2</f>
        <v>5</v>
      </c>
      <c r="L28" s="86" t="n">
        <f aca="false">MOD(ROW()-2,7)+1</f>
        <v>6</v>
      </c>
    </row>
    <row r="29" customFormat="false" ht="15" hidden="false" customHeight="false" outlineLevel="0" collapsed="false">
      <c r="A29" s="85" t="str">
        <f aca="false">IF(INDEX(Candidates!$A$1:$A$500,K29)="","",INDEX(Candidates!$A$1:$A$500,K29))</f>
        <v>Kark Clent</v>
      </c>
      <c r="B29" s="85" t="str">
        <f aca="false">IF(A29="","",INDEX(Candidates!$C$1:$C$500,K29))</f>
        <v>UI Designer</v>
      </c>
      <c r="C29" s="85" t="str">
        <f aca="false">IF(A29="","",INDEX(Candidates!$D$1:$D$500,K29))</f>
        <v>Graphic Designer</v>
      </c>
      <c r="D29" s="85" t="n">
        <f aca="false">IF(A29="","",L29)</f>
        <v>7</v>
      </c>
      <c r="E29" s="85" t="str">
        <f aca="false">IF(A29="","",INDEX($O$2:$O$8,L29))</f>
        <v>Final Interview</v>
      </c>
      <c r="F29" s="85" t="str">
        <f aca="false">IF(A29="","",IF(ISNUMBER(INDEX(Candidates!$A$1:$Z$500,K29,INDEX($P$2:$P$8,L29))),INDEX(Candidates!$A$1:$Z$500,K29,INDEX($P$2:$P$8,L29)),""))</f>
        <v/>
      </c>
      <c r="G29" s="85" t="n">
        <f aca="false">IF(A29="","",INDEX($Q$2:$Q$8,L29))</f>
        <v>8</v>
      </c>
      <c r="H29" s="85" t="str">
        <f aca="false">IF(A29="","",IF(F29="","Not yet scored",IF(F29&gt;=G29,"Pass","Fail")))</f>
        <v>Not yet scored</v>
      </c>
      <c r="I29" s="85" t="str">
        <f aca="false">IF(A29="","",INDEX(Candidates!$B$1:$B$500,K29))</f>
        <v>Send Portfolio</v>
      </c>
      <c r="K29" s="86" t="n">
        <f aca="false">INT((ROW()-2)/7)+2</f>
        <v>5</v>
      </c>
      <c r="L29" s="86" t="n">
        <f aca="false">MOD(ROW()-2,7)+1</f>
        <v>7</v>
      </c>
    </row>
    <row r="30" customFormat="false" ht="15" hidden="false" customHeight="false" outlineLevel="0" collapsed="false">
      <c r="A30" s="85" t="str">
        <f aca="false">IF(INDEX(Candidates!$A$1:$A$500,K30)="","",INDEX(Candidates!$A$1:$A$500,K30))</f>
        <v>Stony Tark</v>
      </c>
      <c r="B30" s="85" t="str">
        <f aca="false">IF(A30="","",INDEX(Candidates!$C$1:$C$500,K30))</f>
        <v>UX Designer</v>
      </c>
      <c r="C30" s="85" t="str">
        <f aca="false">IF(A30="","",INDEX(Candidates!$D$1:$D$500,K30))</f>
        <v>Graphic Designer</v>
      </c>
      <c r="D30" s="85" t="n">
        <f aca="false">IF(A30="","",L30)</f>
        <v>1</v>
      </c>
      <c r="E30" s="85" t="str">
        <f aca="false">IF(A30="","",INDEX($O$2:$O$8,L30))</f>
        <v>Resume Review</v>
      </c>
      <c r="F30" s="85" t="n">
        <f aca="false">IF(A30="","",IF(ISNUMBER(INDEX(Candidates!$A$1:$Z$500,K30,INDEX($P$2:$P$8,L30))),INDEX(Candidates!$A$1:$Z$500,K30,INDEX($P$2:$P$8,L30)),""))</f>
        <v>7</v>
      </c>
      <c r="G30" s="85" t="n">
        <f aca="false">IF(A30="","",INDEX($Q$2:$Q$8,L30))</f>
        <v>5</v>
      </c>
      <c r="H30" s="85" t="str">
        <f aca="false">IF(A30="","",IF(F30="","Not yet scored",IF(F30&gt;=G30,"Pass","Fail")))</f>
        <v>Pass</v>
      </c>
      <c r="I30" s="85" t="str">
        <f aca="false">IF(A30="","",INDEX(Candidates!$B$1:$B$500,K30))</f>
        <v>FAIL</v>
      </c>
      <c r="K30" s="86" t="n">
        <f aca="false">INT((ROW()-2)/7)+2</f>
        <v>6</v>
      </c>
      <c r="L30" s="86" t="n">
        <f aca="false">MOD(ROW()-2,7)+1</f>
        <v>1</v>
      </c>
    </row>
    <row r="31" customFormat="false" ht="15" hidden="false" customHeight="false" outlineLevel="0" collapsed="false">
      <c r="A31" s="85" t="str">
        <f aca="false">IF(INDEX(Candidates!$A$1:$A$500,K31)="","",INDEX(Candidates!$A$1:$A$500,K31))</f>
        <v>Stony Tark</v>
      </c>
      <c r="B31" s="85" t="str">
        <f aca="false">IF(A31="","",INDEX(Candidates!$C$1:$C$500,K31))</f>
        <v>UX Designer</v>
      </c>
      <c r="C31" s="85" t="str">
        <f aca="false">IF(A31="","",INDEX(Candidates!$D$1:$D$500,K31))</f>
        <v>Graphic Designer</v>
      </c>
      <c r="D31" s="85" t="n">
        <f aca="false">IF(A31="","",L31)</f>
        <v>2</v>
      </c>
      <c r="E31" s="85" t="str">
        <f aca="false">IF(A31="","",INDEX($O$2:$O$8,L31))</f>
        <v>Tech Assessment</v>
      </c>
      <c r="F31" s="85" t="str">
        <f aca="false">IF(A31="","",IF(ISNUMBER(INDEX(Candidates!$A$1:$Z$500,K31,INDEX($P$2:$P$8,L31))),INDEX(Candidates!$A$1:$Z$500,K31,INDEX($P$2:$P$8,L31)),""))</f>
        <v/>
      </c>
      <c r="G31" s="85" t="n">
        <f aca="false">IF(A31="","",INDEX($Q$2:$Q$8,L31))</f>
        <v>7</v>
      </c>
      <c r="H31" s="85" t="str">
        <f aca="false">IF(A31="","",IF(F31="","Not yet scored",IF(F31&gt;=G31,"Pass","Fail")))</f>
        <v>Not yet scored</v>
      </c>
      <c r="I31" s="85" t="str">
        <f aca="false">IF(A31="","",INDEX(Candidates!$B$1:$B$500,K31))</f>
        <v>FAIL</v>
      </c>
      <c r="K31" s="86" t="n">
        <f aca="false">INT((ROW()-2)/7)+2</f>
        <v>6</v>
      </c>
      <c r="L31" s="86" t="n">
        <f aca="false">MOD(ROW()-2,7)+1</f>
        <v>2</v>
      </c>
    </row>
    <row r="32" customFormat="false" ht="15" hidden="false" customHeight="false" outlineLevel="0" collapsed="false">
      <c r="A32" s="85" t="str">
        <f aca="false">IF(INDEX(Candidates!$A$1:$A$500,K32)="","",INDEX(Candidates!$A$1:$A$500,K32))</f>
        <v>Stony Tark</v>
      </c>
      <c r="B32" s="85" t="str">
        <f aca="false">IF(A32="","",INDEX(Candidates!$C$1:$C$500,K32))</f>
        <v>UX Designer</v>
      </c>
      <c r="C32" s="85" t="str">
        <f aca="false">IF(A32="","",INDEX(Candidates!$D$1:$D$500,K32))</f>
        <v>Graphic Designer</v>
      </c>
      <c r="D32" s="85" t="n">
        <f aca="false">IF(A32="","",L32)</f>
        <v>3</v>
      </c>
      <c r="E32" s="85" t="str">
        <f aca="false">IF(A32="","",INDEX($O$2:$O$8,L32))</f>
        <v>Initial Meeting</v>
      </c>
      <c r="F32" s="85" t="str">
        <f aca="false">IF(A32="","",IF(ISNUMBER(INDEX(Candidates!$A$1:$Z$500,K32,INDEX($P$2:$P$8,L32))),INDEX(Candidates!$A$1:$Z$500,K32,INDEX($P$2:$P$8,L32)),""))</f>
        <v/>
      </c>
      <c r="G32" s="85" t="n">
        <f aca="false">IF(A32="","",INDEX($Q$2:$Q$8,L32))</f>
        <v>6</v>
      </c>
      <c r="H32" s="85" t="str">
        <f aca="false">IF(A32="","",IF(F32="","Not yet scored",IF(F32&gt;=G32,"Pass","Fail")))</f>
        <v>Not yet scored</v>
      </c>
      <c r="I32" s="85" t="str">
        <f aca="false">IF(A32="","",INDEX(Candidates!$B$1:$B$500,K32))</f>
        <v>FAIL</v>
      </c>
      <c r="K32" s="86" t="n">
        <f aca="false">INT((ROW()-2)/7)+2</f>
        <v>6</v>
      </c>
      <c r="L32" s="86" t="n">
        <f aca="false">MOD(ROW()-2,7)+1</f>
        <v>3</v>
      </c>
    </row>
    <row r="33" customFormat="false" ht="15" hidden="false" customHeight="false" outlineLevel="0" collapsed="false">
      <c r="A33" s="85" t="str">
        <f aca="false">IF(INDEX(Candidates!$A$1:$A$500,K33)="","",INDEX(Candidates!$A$1:$A$500,K33))</f>
        <v>Stony Tark</v>
      </c>
      <c r="B33" s="85" t="str">
        <f aca="false">IF(A33="","",INDEX(Candidates!$C$1:$C$500,K33))</f>
        <v>UX Designer</v>
      </c>
      <c r="C33" s="85" t="str">
        <f aca="false">IF(A33="","",INDEX(Candidates!$D$1:$D$500,K33))</f>
        <v>Graphic Designer</v>
      </c>
      <c r="D33" s="85" t="n">
        <f aca="false">IF(A33="","",L33)</f>
        <v>4</v>
      </c>
      <c r="E33" s="85" t="str">
        <f aca="false">IF(A33="","",INDEX($O$2:$O$8,L33))</f>
        <v>Portfolio</v>
      </c>
      <c r="F33" s="85" t="str">
        <f aca="false">IF(A33="","",IF(ISNUMBER(INDEX(Candidates!$A$1:$Z$500,K33,INDEX($P$2:$P$8,L33))),INDEX(Candidates!$A$1:$Z$500,K33,INDEX($P$2:$P$8,L33)),""))</f>
        <v/>
      </c>
      <c r="G33" s="85" t="n">
        <f aca="false">IF(A33="","",INDEX($Q$2:$Q$8,L33))</f>
        <v>7</v>
      </c>
      <c r="H33" s="85" t="str">
        <f aca="false">IF(A33="","",IF(F33="","Not yet scored",IF(F33&gt;=G33,"Pass","Fail")))</f>
        <v>Not yet scored</v>
      </c>
      <c r="I33" s="85" t="str">
        <f aca="false">IF(A33="","",INDEX(Candidates!$B$1:$B$500,K33))</f>
        <v>FAIL</v>
      </c>
      <c r="K33" s="86" t="n">
        <f aca="false">INT((ROW()-2)/7)+2</f>
        <v>6</v>
      </c>
      <c r="L33" s="86" t="n">
        <f aca="false">MOD(ROW()-2,7)+1</f>
        <v>4</v>
      </c>
    </row>
    <row r="34" customFormat="false" ht="15" hidden="false" customHeight="false" outlineLevel="0" collapsed="false">
      <c r="A34" s="85" t="str">
        <f aca="false">IF(INDEX(Candidates!$A$1:$A$500,K34)="","",INDEX(Candidates!$A$1:$A$500,K34))</f>
        <v>Stony Tark</v>
      </c>
      <c r="B34" s="85" t="str">
        <f aca="false">IF(A34="","",INDEX(Candidates!$C$1:$C$500,K34))</f>
        <v>UX Designer</v>
      </c>
      <c r="C34" s="85" t="str">
        <f aca="false">IF(A34="","",INDEX(Candidates!$D$1:$D$500,K34))</f>
        <v>Graphic Designer</v>
      </c>
      <c r="D34" s="85" t="n">
        <f aca="false">IF(A34="","",L34)</f>
        <v>5</v>
      </c>
      <c r="E34" s="85" t="str">
        <f aca="false">IF(A34="","",INDEX($O$2:$O$8,L34))</f>
        <v>Personality Assessment</v>
      </c>
      <c r="F34" s="85" t="n">
        <f aca="false">IF(A34="","",IF(ISNUMBER(INDEX(Candidates!$A$1:$Z$500,K34,INDEX($P$2:$P$8,L34))),INDEX(Candidates!$A$1:$Z$500,K34,INDEX($P$2:$P$8,L34)),""))</f>
        <v>1</v>
      </c>
      <c r="G34" s="85" t="n">
        <f aca="false">IF(A34="","",INDEX($Q$2:$Q$8,L34))</f>
        <v>6</v>
      </c>
      <c r="H34" s="85" t="str">
        <f aca="false">IF(A34="","",IF(F34="","Not yet scored",IF(F34&gt;=G34,"Pass","Fail")))</f>
        <v>Fail</v>
      </c>
      <c r="I34" s="85" t="str">
        <f aca="false">IF(A34="","",INDEX(Candidates!$B$1:$B$500,K34))</f>
        <v>FAIL</v>
      </c>
      <c r="K34" s="86" t="n">
        <f aca="false">INT((ROW()-2)/7)+2</f>
        <v>6</v>
      </c>
      <c r="L34" s="86" t="n">
        <f aca="false">MOD(ROW()-2,7)+1</f>
        <v>5</v>
      </c>
    </row>
    <row r="35" customFormat="false" ht="15" hidden="false" customHeight="false" outlineLevel="0" collapsed="false">
      <c r="A35" s="85" t="str">
        <f aca="false">IF(INDEX(Candidates!$A$1:$A$500,K35)="","",INDEX(Candidates!$A$1:$A$500,K35))</f>
        <v>Stony Tark</v>
      </c>
      <c r="B35" s="85" t="str">
        <f aca="false">IF(A35="","",INDEX(Candidates!$C$1:$C$500,K35))</f>
        <v>UX Designer</v>
      </c>
      <c r="C35" s="85" t="str">
        <f aca="false">IF(A35="","",INDEX(Candidates!$D$1:$D$500,K35))</f>
        <v>Graphic Designer</v>
      </c>
      <c r="D35" s="85" t="n">
        <f aca="false">IF(A35="","",L35)</f>
        <v>6</v>
      </c>
      <c r="E35" s="85" t="str">
        <f aca="false">IF(A35="","",INDEX($O$2:$O$8,L35))</f>
        <v>Technical Interview</v>
      </c>
      <c r="F35" s="85" t="str">
        <f aca="false">IF(A35="","",IF(ISNUMBER(INDEX(Candidates!$A$1:$Z$500,K35,INDEX($P$2:$P$8,L35))),INDEX(Candidates!$A$1:$Z$500,K35,INDEX($P$2:$P$8,L35)),""))</f>
        <v/>
      </c>
      <c r="G35" s="85" t="n">
        <f aca="false">IF(A35="","",INDEX($Q$2:$Q$8,L35))</f>
        <v>8</v>
      </c>
      <c r="H35" s="85" t="str">
        <f aca="false">IF(A35="","",IF(F35="","Not yet scored",IF(F35&gt;=G35,"Pass","Fail")))</f>
        <v>Not yet scored</v>
      </c>
      <c r="I35" s="85" t="str">
        <f aca="false">IF(A35="","",INDEX(Candidates!$B$1:$B$500,K35))</f>
        <v>FAIL</v>
      </c>
      <c r="K35" s="86" t="n">
        <f aca="false">INT((ROW()-2)/7)+2</f>
        <v>6</v>
      </c>
      <c r="L35" s="86" t="n">
        <f aca="false">MOD(ROW()-2,7)+1</f>
        <v>6</v>
      </c>
    </row>
    <row r="36" customFormat="false" ht="15" hidden="false" customHeight="false" outlineLevel="0" collapsed="false">
      <c r="A36" s="85" t="str">
        <f aca="false">IF(INDEX(Candidates!$A$1:$A$500,K36)="","",INDEX(Candidates!$A$1:$A$500,K36))</f>
        <v>Stony Tark</v>
      </c>
      <c r="B36" s="85" t="str">
        <f aca="false">IF(A36="","",INDEX(Candidates!$C$1:$C$500,K36))</f>
        <v>UX Designer</v>
      </c>
      <c r="C36" s="85" t="str">
        <f aca="false">IF(A36="","",INDEX(Candidates!$D$1:$D$500,K36))</f>
        <v>Graphic Designer</v>
      </c>
      <c r="D36" s="85" t="n">
        <f aca="false">IF(A36="","",L36)</f>
        <v>7</v>
      </c>
      <c r="E36" s="85" t="str">
        <f aca="false">IF(A36="","",INDEX($O$2:$O$8,L36))</f>
        <v>Final Interview</v>
      </c>
      <c r="F36" s="85" t="str">
        <f aca="false">IF(A36="","",IF(ISNUMBER(INDEX(Candidates!$A$1:$Z$500,K36,INDEX($P$2:$P$8,L36))),INDEX(Candidates!$A$1:$Z$500,K36,INDEX($P$2:$P$8,L36)),""))</f>
        <v/>
      </c>
      <c r="G36" s="85" t="n">
        <f aca="false">IF(A36="","",INDEX($Q$2:$Q$8,L36))</f>
        <v>8</v>
      </c>
      <c r="H36" s="85" t="str">
        <f aca="false">IF(A36="","",IF(F36="","Not yet scored",IF(F36&gt;=G36,"Pass","Fail")))</f>
        <v>Not yet scored</v>
      </c>
      <c r="I36" s="85" t="str">
        <f aca="false">IF(A36="","",INDEX(Candidates!$B$1:$B$500,K36))</f>
        <v>FAIL</v>
      </c>
      <c r="K36" s="86" t="n">
        <f aca="false">INT((ROW()-2)/7)+2</f>
        <v>6</v>
      </c>
      <c r="L36" s="86" t="n">
        <f aca="false">MOD(ROW()-2,7)+1</f>
        <v>7</v>
      </c>
    </row>
    <row r="37" customFormat="false" ht="15" hidden="false" customHeight="false" outlineLevel="0" collapsed="false">
      <c r="A37" s="85" t="str">
        <f aca="false">IF(INDEX(Candidates!$A$1:$A$500,K37)="","",INDEX(Candidates!$A$1:$A$500,K37))</f>
        <v>Reve Stogers</v>
      </c>
      <c r="B37" s="85" t="str">
        <f aca="false">IF(A37="","",INDEX(Candidates!$C$1:$C$500,K37))</f>
        <v>Multimedia Creator</v>
      </c>
      <c r="C37" s="85" t="str">
        <f aca="false">IF(A37="","",INDEX(Candidates!$D$1:$D$500,K37))</f>
        <v>Graphic Designer</v>
      </c>
      <c r="D37" s="85" t="n">
        <f aca="false">IF(A37="","",L37)</f>
        <v>1</v>
      </c>
      <c r="E37" s="85" t="str">
        <f aca="false">IF(A37="","",INDEX($O$2:$O$8,L37))</f>
        <v>Resume Review</v>
      </c>
      <c r="F37" s="85" t="n">
        <f aca="false">IF(A37="","",IF(ISNUMBER(INDEX(Candidates!$A$1:$Z$500,K37,INDEX($P$2:$P$8,L37))),INDEX(Candidates!$A$1:$Z$500,K37,INDEX($P$2:$P$8,L37)),""))</f>
        <v>3</v>
      </c>
      <c r="G37" s="85" t="n">
        <f aca="false">IF(A37="","",INDEX($Q$2:$Q$8,L37))</f>
        <v>5</v>
      </c>
      <c r="H37" s="85" t="str">
        <f aca="false">IF(A37="","",IF(F37="","Not yet scored",IF(F37&gt;=G37,"Pass","Fail")))</f>
        <v>Fail</v>
      </c>
      <c r="I37" s="85" t="str">
        <f aca="false">IF(A37="","",INDEX(Candidates!$B$1:$B$500,K37))</f>
        <v>FAIL</v>
      </c>
      <c r="K37" s="86" t="n">
        <f aca="false">INT((ROW()-2)/7)+2</f>
        <v>7</v>
      </c>
      <c r="L37" s="86" t="n">
        <f aca="false">MOD(ROW()-2,7)+1</f>
        <v>1</v>
      </c>
    </row>
    <row r="38" customFormat="false" ht="15" hidden="false" customHeight="false" outlineLevel="0" collapsed="false">
      <c r="A38" s="85" t="str">
        <f aca="false">IF(INDEX(Candidates!$A$1:$A$500,K38)="","",INDEX(Candidates!$A$1:$A$500,K38))</f>
        <v>Reve Stogers</v>
      </c>
      <c r="B38" s="85" t="str">
        <f aca="false">IF(A38="","",INDEX(Candidates!$C$1:$C$500,K38))</f>
        <v>Multimedia Creator</v>
      </c>
      <c r="C38" s="85" t="str">
        <f aca="false">IF(A38="","",INDEX(Candidates!$D$1:$D$500,K38))</f>
        <v>Graphic Designer</v>
      </c>
      <c r="D38" s="85" t="n">
        <f aca="false">IF(A38="","",L38)</f>
        <v>2</v>
      </c>
      <c r="E38" s="85" t="str">
        <f aca="false">IF(A38="","",INDEX($O$2:$O$8,L38))</f>
        <v>Tech Assessment</v>
      </c>
      <c r="F38" s="85" t="str">
        <f aca="false">IF(A38="","",IF(ISNUMBER(INDEX(Candidates!$A$1:$Z$500,K38,INDEX($P$2:$P$8,L38))),INDEX(Candidates!$A$1:$Z$500,K38,INDEX($P$2:$P$8,L38)),""))</f>
        <v/>
      </c>
      <c r="G38" s="85" t="n">
        <f aca="false">IF(A38="","",INDEX($Q$2:$Q$8,L38))</f>
        <v>7</v>
      </c>
      <c r="H38" s="85" t="str">
        <f aca="false">IF(A38="","",IF(F38="","Not yet scored",IF(F38&gt;=G38,"Pass","Fail")))</f>
        <v>Not yet scored</v>
      </c>
      <c r="I38" s="85" t="str">
        <f aca="false">IF(A38="","",INDEX(Candidates!$B$1:$B$500,K38))</f>
        <v>FAIL</v>
      </c>
      <c r="K38" s="86" t="n">
        <f aca="false">INT((ROW()-2)/7)+2</f>
        <v>7</v>
      </c>
      <c r="L38" s="86" t="n">
        <f aca="false">MOD(ROW()-2,7)+1</f>
        <v>2</v>
      </c>
    </row>
    <row r="39" customFormat="false" ht="15" hidden="false" customHeight="false" outlineLevel="0" collapsed="false">
      <c r="A39" s="85" t="str">
        <f aca="false">IF(INDEX(Candidates!$A$1:$A$500,K39)="","",INDEX(Candidates!$A$1:$A$500,K39))</f>
        <v>Reve Stogers</v>
      </c>
      <c r="B39" s="85" t="str">
        <f aca="false">IF(A39="","",INDEX(Candidates!$C$1:$C$500,K39))</f>
        <v>Multimedia Creator</v>
      </c>
      <c r="C39" s="85" t="str">
        <f aca="false">IF(A39="","",INDEX(Candidates!$D$1:$D$500,K39))</f>
        <v>Graphic Designer</v>
      </c>
      <c r="D39" s="85" t="n">
        <f aca="false">IF(A39="","",L39)</f>
        <v>3</v>
      </c>
      <c r="E39" s="85" t="str">
        <f aca="false">IF(A39="","",INDEX($O$2:$O$8,L39))</f>
        <v>Initial Meeting</v>
      </c>
      <c r="F39" s="85" t="str">
        <f aca="false">IF(A39="","",IF(ISNUMBER(INDEX(Candidates!$A$1:$Z$500,K39,INDEX($P$2:$P$8,L39))),INDEX(Candidates!$A$1:$Z$500,K39,INDEX($P$2:$P$8,L39)),""))</f>
        <v/>
      </c>
      <c r="G39" s="85" t="n">
        <f aca="false">IF(A39="","",INDEX($Q$2:$Q$8,L39))</f>
        <v>6</v>
      </c>
      <c r="H39" s="85" t="str">
        <f aca="false">IF(A39="","",IF(F39="","Not yet scored",IF(F39&gt;=G39,"Pass","Fail")))</f>
        <v>Not yet scored</v>
      </c>
      <c r="I39" s="85" t="str">
        <f aca="false">IF(A39="","",INDEX(Candidates!$B$1:$B$500,K39))</f>
        <v>FAIL</v>
      </c>
      <c r="K39" s="86" t="n">
        <f aca="false">INT((ROW()-2)/7)+2</f>
        <v>7</v>
      </c>
      <c r="L39" s="86" t="n">
        <f aca="false">MOD(ROW()-2,7)+1</f>
        <v>3</v>
      </c>
    </row>
    <row r="40" customFormat="false" ht="15" hidden="false" customHeight="false" outlineLevel="0" collapsed="false">
      <c r="A40" s="85" t="str">
        <f aca="false">IF(INDEX(Candidates!$A$1:$A$500,K40)="","",INDEX(Candidates!$A$1:$A$500,K40))</f>
        <v>Reve Stogers</v>
      </c>
      <c r="B40" s="85" t="str">
        <f aca="false">IF(A40="","",INDEX(Candidates!$C$1:$C$500,K40))</f>
        <v>Multimedia Creator</v>
      </c>
      <c r="C40" s="85" t="str">
        <f aca="false">IF(A40="","",INDEX(Candidates!$D$1:$D$500,K40))</f>
        <v>Graphic Designer</v>
      </c>
      <c r="D40" s="85" t="n">
        <f aca="false">IF(A40="","",L40)</f>
        <v>4</v>
      </c>
      <c r="E40" s="85" t="str">
        <f aca="false">IF(A40="","",INDEX($O$2:$O$8,L40))</f>
        <v>Portfolio</v>
      </c>
      <c r="F40" s="85" t="str">
        <f aca="false">IF(A40="","",IF(ISNUMBER(INDEX(Candidates!$A$1:$Z$500,K40,INDEX($P$2:$P$8,L40))),INDEX(Candidates!$A$1:$Z$500,K40,INDEX($P$2:$P$8,L40)),""))</f>
        <v/>
      </c>
      <c r="G40" s="85" t="n">
        <f aca="false">IF(A40="","",INDEX($Q$2:$Q$8,L40))</f>
        <v>7</v>
      </c>
      <c r="H40" s="85" t="str">
        <f aca="false">IF(A40="","",IF(F40="","Not yet scored",IF(F40&gt;=G40,"Pass","Fail")))</f>
        <v>Not yet scored</v>
      </c>
      <c r="I40" s="85" t="str">
        <f aca="false">IF(A40="","",INDEX(Candidates!$B$1:$B$500,K40))</f>
        <v>FAIL</v>
      </c>
      <c r="K40" s="86" t="n">
        <f aca="false">INT((ROW()-2)/7)+2</f>
        <v>7</v>
      </c>
      <c r="L40" s="86" t="n">
        <f aca="false">MOD(ROW()-2,7)+1</f>
        <v>4</v>
      </c>
    </row>
    <row r="41" customFormat="false" ht="15" hidden="false" customHeight="false" outlineLevel="0" collapsed="false">
      <c r="A41" s="85" t="str">
        <f aca="false">IF(INDEX(Candidates!$A$1:$A$500,K41)="","",INDEX(Candidates!$A$1:$A$500,K41))</f>
        <v>Reve Stogers</v>
      </c>
      <c r="B41" s="85" t="str">
        <f aca="false">IF(A41="","",INDEX(Candidates!$C$1:$C$500,K41))</f>
        <v>Multimedia Creator</v>
      </c>
      <c r="C41" s="85" t="str">
        <f aca="false">IF(A41="","",INDEX(Candidates!$D$1:$D$500,K41))</f>
        <v>Graphic Designer</v>
      </c>
      <c r="D41" s="85" t="n">
        <f aca="false">IF(A41="","",L41)</f>
        <v>5</v>
      </c>
      <c r="E41" s="85" t="str">
        <f aca="false">IF(A41="","",INDEX($O$2:$O$8,L41))</f>
        <v>Personality Assessment</v>
      </c>
      <c r="F41" s="85" t="n">
        <f aca="false">IF(A41="","",IF(ISNUMBER(INDEX(Candidates!$A$1:$Z$500,K41,INDEX($P$2:$P$8,L41))),INDEX(Candidates!$A$1:$Z$500,K41,INDEX($P$2:$P$8,L41)),""))</f>
        <v>3</v>
      </c>
      <c r="G41" s="85" t="n">
        <f aca="false">IF(A41="","",INDEX($Q$2:$Q$8,L41))</f>
        <v>6</v>
      </c>
      <c r="H41" s="85" t="str">
        <f aca="false">IF(A41="","",IF(F41="","Not yet scored",IF(F41&gt;=G41,"Pass","Fail")))</f>
        <v>Fail</v>
      </c>
      <c r="I41" s="85" t="str">
        <f aca="false">IF(A41="","",INDEX(Candidates!$B$1:$B$500,K41))</f>
        <v>FAIL</v>
      </c>
      <c r="K41" s="86" t="n">
        <f aca="false">INT((ROW()-2)/7)+2</f>
        <v>7</v>
      </c>
      <c r="L41" s="86" t="n">
        <f aca="false">MOD(ROW()-2,7)+1</f>
        <v>5</v>
      </c>
    </row>
    <row r="42" customFormat="false" ht="15" hidden="false" customHeight="false" outlineLevel="0" collapsed="false">
      <c r="A42" s="85" t="str">
        <f aca="false">IF(INDEX(Candidates!$A$1:$A$500,K42)="","",INDEX(Candidates!$A$1:$A$500,K42))</f>
        <v>Reve Stogers</v>
      </c>
      <c r="B42" s="85" t="str">
        <f aca="false">IF(A42="","",INDEX(Candidates!$C$1:$C$500,K42))</f>
        <v>Multimedia Creator</v>
      </c>
      <c r="C42" s="85" t="str">
        <f aca="false">IF(A42="","",INDEX(Candidates!$D$1:$D$500,K42))</f>
        <v>Graphic Designer</v>
      </c>
      <c r="D42" s="85" t="n">
        <f aca="false">IF(A42="","",L42)</f>
        <v>6</v>
      </c>
      <c r="E42" s="85" t="str">
        <f aca="false">IF(A42="","",INDEX($O$2:$O$8,L42))</f>
        <v>Technical Interview</v>
      </c>
      <c r="F42" s="85" t="str">
        <f aca="false">IF(A42="","",IF(ISNUMBER(INDEX(Candidates!$A$1:$Z$500,K42,INDEX($P$2:$P$8,L42))),INDEX(Candidates!$A$1:$Z$500,K42,INDEX($P$2:$P$8,L42)),""))</f>
        <v/>
      </c>
      <c r="G42" s="85" t="n">
        <f aca="false">IF(A42="","",INDEX($Q$2:$Q$8,L42))</f>
        <v>8</v>
      </c>
      <c r="H42" s="85" t="str">
        <f aca="false">IF(A42="","",IF(F42="","Not yet scored",IF(F42&gt;=G42,"Pass","Fail")))</f>
        <v>Not yet scored</v>
      </c>
      <c r="I42" s="85" t="str">
        <f aca="false">IF(A42="","",INDEX(Candidates!$B$1:$B$500,K42))</f>
        <v>FAIL</v>
      </c>
      <c r="K42" s="86" t="n">
        <f aca="false">INT((ROW()-2)/7)+2</f>
        <v>7</v>
      </c>
      <c r="L42" s="86" t="n">
        <f aca="false">MOD(ROW()-2,7)+1</f>
        <v>6</v>
      </c>
    </row>
    <row r="43" customFormat="false" ht="15" hidden="false" customHeight="false" outlineLevel="0" collapsed="false">
      <c r="A43" s="85" t="str">
        <f aca="false">IF(INDEX(Candidates!$A$1:$A$500,K43)="","",INDEX(Candidates!$A$1:$A$500,K43))</f>
        <v>Reve Stogers</v>
      </c>
      <c r="B43" s="85" t="str">
        <f aca="false">IF(A43="","",INDEX(Candidates!$C$1:$C$500,K43))</f>
        <v>Multimedia Creator</v>
      </c>
      <c r="C43" s="85" t="str">
        <f aca="false">IF(A43="","",INDEX(Candidates!$D$1:$D$500,K43))</f>
        <v>Graphic Designer</v>
      </c>
      <c r="D43" s="85" t="n">
        <f aca="false">IF(A43="","",L43)</f>
        <v>7</v>
      </c>
      <c r="E43" s="85" t="str">
        <f aca="false">IF(A43="","",INDEX($O$2:$O$8,L43))</f>
        <v>Final Interview</v>
      </c>
      <c r="F43" s="85" t="str">
        <f aca="false">IF(A43="","",IF(ISNUMBER(INDEX(Candidates!$A$1:$Z$500,K43,INDEX($P$2:$P$8,L43))),INDEX(Candidates!$A$1:$Z$500,K43,INDEX($P$2:$P$8,L43)),""))</f>
        <v/>
      </c>
      <c r="G43" s="85" t="n">
        <f aca="false">IF(A43="","",INDEX($Q$2:$Q$8,L43))</f>
        <v>8</v>
      </c>
      <c r="H43" s="85" t="str">
        <f aca="false">IF(A43="","",IF(F43="","Not yet scored",IF(F43&gt;=G43,"Pass","Fail")))</f>
        <v>Not yet scored</v>
      </c>
      <c r="I43" s="85" t="str">
        <f aca="false">IF(A43="","",INDEX(Candidates!$B$1:$B$500,K43))</f>
        <v>FAIL</v>
      </c>
      <c r="K43" s="86" t="n">
        <f aca="false">INT((ROW()-2)/7)+2</f>
        <v>7</v>
      </c>
      <c r="L43" s="86" t="n">
        <f aca="false">MOD(ROW()-2,7)+1</f>
        <v>7</v>
      </c>
    </row>
    <row r="44" customFormat="false" ht="15" hidden="false" customHeight="false" outlineLevel="0" collapsed="false">
      <c r="A44" s="85" t="str">
        <f aca="false">IF(INDEX(Candidates!$A$1:$A$500,K44)="","",INDEX(Candidates!$A$1:$A$500,K44))</f>
        <v>Xarles Chavier</v>
      </c>
      <c r="B44" s="85" t="str">
        <f aca="false">IF(A44="","",INDEX(Candidates!$C$1:$C$500,K44))</f>
        <v>Business Operations Associate</v>
      </c>
      <c r="C44" s="85" t="str">
        <f aca="false">IF(A44="","",INDEX(Candidates!$D$1:$D$500,K44))</f>
        <v>Commercial Team</v>
      </c>
      <c r="D44" s="85" t="n">
        <f aca="false">IF(A44="","",L44)</f>
        <v>1</v>
      </c>
      <c r="E44" s="85" t="str">
        <f aca="false">IF(A44="","",INDEX($O$2:$O$8,L44))</f>
        <v>Resume Review</v>
      </c>
      <c r="F44" s="85" t="n">
        <f aca="false">IF(A44="","",IF(ISNUMBER(INDEX(Candidates!$A$1:$Z$500,K44,INDEX($P$2:$P$8,L44))),INDEX(Candidates!$A$1:$Z$500,K44,INDEX($P$2:$P$8,L44)),""))</f>
        <v>9</v>
      </c>
      <c r="G44" s="85" t="n">
        <f aca="false">IF(A44="","",INDEX($Q$2:$Q$8,L44))</f>
        <v>5</v>
      </c>
      <c r="H44" s="85" t="str">
        <f aca="false">IF(A44="","",IF(F44="","Not yet scored",IF(F44&gt;=G44,"Pass","Fail")))</f>
        <v>Pass</v>
      </c>
      <c r="I44" s="85" t="str">
        <f aca="false">IF(A44="","",INDEX(Candidates!$B$1:$B$500,K44))</f>
        <v>Schedule Final Interview</v>
      </c>
      <c r="K44" s="86" t="n">
        <f aca="false">INT((ROW()-2)/7)+2</f>
        <v>8</v>
      </c>
      <c r="L44" s="86" t="n">
        <f aca="false">MOD(ROW()-2,7)+1</f>
        <v>1</v>
      </c>
    </row>
    <row r="45" customFormat="false" ht="15" hidden="false" customHeight="false" outlineLevel="0" collapsed="false">
      <c r="A45" s="85" t="str">
        <f aca="false">IF(INDEX(Candidates!$A$1:$A$500,K45)="","",INDEX(Candidates!$A$1:$A$500,K45))</f>
        <v>Xarles Chavier</v>
      </c>
      <c r="B45" s="85" t="str">
        <f aca="false">IF(A45="","",INDEX(Candidates!$C$1:$C$500,K45))</f>
        <v>Business Operations Associate</v>
      </c>
      <c r="C45" s="85" t="str">
        <f aca="false">IF(A45="","",INDEX(Candidates!$D$1:$D$500,K45))</f>
        <v>Commercial Team</v>
      </c>
      <c r="D45" s="85" t="n">
        <f aca="false">IF(A45="","",L45)</f>
        <v>2</v>
      </c>
      <c r="E45" s="85" t="str">
        <f aca="false">IF(A45="","",INDEX($O$2:$O$8,L45))</f>
        <v>Tech Assessment</v>
      </c>
      <c r="F45" s="85" t="str">
        <f aca="false">IF(A45="","",IF(ISNUMBER(INDEX(Candidates!$A$1:$Z$500,K45,INDEX($P$2:$P$8,L45))),INDEX(Candidates!$A$1:$Z$500,K45,INDEX($P$2:$P$8,L45)),""))</f>
        <v/>
      </c>
      <c r="G45" s="85" t="n">
        <f aca="false">IF(A45="","",INDEX($Q$2:$Q$8,L45))</f>
        <v>7</v>
      </c>
      <c r="H45" s="85" t="str">
        <f aca="false">IF(A45="","",IF(F45="","Not yet scored",IF(F45&gt;=G45,"Pass","Fail")))</f>
        <v>Not yet scored</v>
      </c>
      <c r="I45" s="85" t="str">
        <f aca="false">IF(A45="","",INDEX(Candidates!$B$1:$B$500,K45))</f>
        <v>Schedule Final Interview</v>
      </c>
      <c r="K45" s="86" t="n">
        <f aca="false">INT((ROW()-2)/7)+2</f>
        <v>8</v>
      </c>
      <c r="L45" s="86" t="n">
        <f aca="false">MOD(ROW()-2,7)+1</f>
        <v>2</v>
      </c>
    </row>
    <row r="46" customFormat="false" ht="15" hidden="false" customHeight="false" outlineLevel="0" collapsed="false">
      <c r="A46" s="85" t="str">
        <f aca="false">IF(INDEX(Candidates!$A$1:$A$500,K46)="","",INDEX(Candidates!$A$1:$A$500,K46))</f>
        <v>Xarles Chavier</v>
      </c>
      <c r="B46" s="85" t="str">
        <f aca="false">IF(A46="","",INDEX(Candidates!$C$1:$C$500,K46))</f>
        <v>Business Operations Associate</v>
      </c>
      <c r="C46" s="85" t="str">
        <f aca="false">IF(A46="","",INDEX(Candidates!$D$1:$D$500,K46))</f>
        <v>Commercial Team</v>
      </c>
      <c r="D46" s="85" t="n">
        <f aca="false">IF(A46="","",L46)</f>
        <v>3</v>
      </c>
      <c r="E46" s="85" t="str">
        <f aca="false">IF(A46="","",INDEX($O$2:$O$8,L46))</f>
        <v>Initial Meeting</v>
      </c>
      <c r="F46" s="85" t="n">
        <f aca="false">IF(A46="","",IF(ISNUMBER(INDEX(Candidates!$A$1:$Z$500,K46,INDEX($P$2:$P$8,L46))),INDEX(Candidates!$A$1:$Z$500,K46,INDEX($P$2:$P$8,L46)),""))</f>
        <v>9</v>
      </c>
      <c r="G46" s="85" t="n">
        <f aca="false">IF(A46="","",INDEX($Q$2:$Q$8,L46))</f>
        <v>6</v>
      </c>
      <c r="H46" s="85" t="str">
        <f aca="false">IF(A46="","",IF(F46="","Not yet scored",IF(F46&gt;=G46,"Pass","Fail")))</f>
        <v>Pass</v>
      </c>
      <c r="I46" s="85" t="str">
        <f aca="false">IF(A46="","",INDEX(Candidates!$B$1:$B$500,K46))</f>
        <v>Schedule Final Interview</v>
      </c>
      <c r="K46" s="86" t="n">
        <f aca="false">INT((ROW()-2)/7)+2</f>
        <v>8</v>
      </c>
      <c r="L46" s="86" t="n">
        <f aca="false">MOD(ROW()-2,7)+1</f>
        <v>3</v>
      </c>
    </row>
    <row r="47" customFormat="false" ht="15" hidden="false" customHeight="false" outlineLevel="0" collapsed="false">
      <c r="A47" s="85" t="str">
        <f aca="false">IF(INDEX(Candidates!$A$1:$A$500,K47)="","",INDEX(Candidates!$A$1:$A$500,K47))</f>
        <v>Xarles Chavier</v>
      </c>
      <c r="B47" s="85" t="str">
        <f aca="false">IF(A47="","",INDEX(Candidates!$C$1:$C$500,K47))</f>
        <v>Business Operations Associate</v>
      </c>
      <c r="C47" s="85" t="str">
        <f aca="false">IF(A47="","",INDEX(Candidates!$D$1:$D$500,K47))</f>
        <v>Commercial Team</v>
      </c>
      <c r="D47" s="85" t="n">
        <f aca="false">IF(A47="","",L47)</f>
        <v>4</v>
      </c>
      <c r="E47" s="85" t="str">
        <f aca="false">IF(A47="","",INDEX($O$2:$O$8,L47))</f>
        <v>Portfolio</v>
      </c>
      <c r="F47" s="85" t="str">
        <f aca="false">IF(A47="","",IF(ISNUMBER(INDEX(Candidates!$A$1:$Z$500,K47,INDEX($P$2:$P$8,L47))),INDEX(Candidates!$A$1:$Z$500,K47,INDEX($P$2:$P$8,L47)),""))</f>
        <v/>
      </c>
      <c r="G47" s="85" t="n">
        <f aca="false">IF(A47="","",INDEX($Q$2:$Q$8,L47))</f>
        <v>7</v>
      </c>
      <c r="H47" s="85" t="str">
        <f aca="false">IF(A47="","",IF(F47="","Not yet scored",IF(F47&gt;=G47,"Pass","Fail")))</f>
        <v>Not yet scored</v>
      </c>
      <c r="I47" s="85" t="str">
        <f aca="false">IF(A47="","",INDEX(Candidates!$B$1:$B$500,K47))</f>
        <v>Schedule Final Interview</v>
      </c>
      <c r="K47" s="86" t="n">
        <f aca="false">INT((ROW()-2)/7)+2</f>
        <v>8</v>
      </c>
      <c r="L47" s="86" t="n">
        <f aca="false">MOD(ROW()-2,7)+1</f>
        <v>4</v>
      </c>
    </row>
    <row r="48" customFormat="false" ht="15" hidden="false" customHeight="false" outlineLevel="0" collapsed="false">
      <c r="A48" s="85" t="str">
        <f aca="false">IF(INDEX(Candidates!$A$1:$A$500,K48)="","",INDEX(Candidates!$A$1:$A$500,K48))</f>
        <v>Xarles Chavier</v>
      </c>
      <c r="B48" s="85" t="str">
        <f aca="false">IF(A48="","",INDEX(Candidates!$C$1:$C$500,K48))</f>
        <v>Business Operations Associate</v>
      </c>
      <c r="C48" s="85" t="str">
        <f aca="false">IF(A48="","",INDEX(Candidates!$D$1:$D$500,K48))</f>
        <v>Commercial Team</v>
      </c>
      <c r="D48" s="85" t="n">
        <f aca="false">IF(A48="","",L48)</f>
        <v>5</v>
      </c>
      <c r="E48" s="85" t="str">
        <f aca="false">IF(A48="","",INDEX($O$2:$O$8,L48))</f>
        <v>Personality Assessment</v>
      </c>
      <c r="F48" s="85" t="n">
        <f aca="false">IF(A48="","",IF(ISNUMBER(INDEX(Candidates!$A$1:$Z$500,K48,INDEX($P$2:$P$8,L48))),INDEX(Candidates!$A$1:$Z$500,K48,INDEX($P$2:$P$8,L48)),""))</f>
        <v>6</v>
      </c>
      <c r="G48" s="85" t="n">
        <f aca="false">IF(A48="","",INDEX($Q$2:$Q$8,L48))</f>
        <v>6</v>
      </c>
      <c r="H48" s="85" t="str">
        <f aca="false">IF(A48="","",IF(F48="","Not yet scored",IF(F48&gt;=G48,"Pass","Fail")))</f>
        <v>Pass</v>
      </c>
      <c r="I48" s="85" t="str">
        <f aca="false">IF(A48="","",INDEX(Candidates!$B$1:$B$500,K48))</f>
        <v>Schedule Final Interview</v>
      </c>
      <c r="K48" s="86" t="n">
        <f aca="false">INT((ROW()-2)/7)+2</f>
        <v>8</v>
      </c>
      <c r="L48" s="86" t="n">
        <f aca="false">MOD(ROW()-2,7)+1</f>
        <v>5</v>
      </c>
    </row>
    <row r="49" customFormat="false" ht="15" hidden="false" customHeight="false" outlineLevel="0" collapsed="false">
      <c r="A49" s="85" t="str">
        <f aca="false">IF(INDEX(Candidates!$A$1:$A$500,K49)="","",INDEX(Candidates!$A$1:$A$500,K49))</f>
        <v>Xarles Chavier</v>
      </c>
      <c r="B49" s="85" t="str">
        <f aca="false">IF(A49="","",INDEX(Candidates!$C$1:$C$500,K49))</f>
        <v>Business Operations Associate</v>
      </c>
      <c r="C49" s="85" t="str">
        <f aca="false">IF(A49="","",INDEX(Candidates!$D$1:$D$500,K49))</f>
        <v>Commercial Team</v>
      </c>
      <c r="D49" s="85" t="n">
        <f aca="false">IF(A49="","",L49)</f>
        <v>6</v>
      </c>
      <c r="E49" s="85" t="str">
        <f aca="false">IF(A49="","",INDEX($O$2:$O$8,L49))</f>
        <v>Technical Interview</v>
      </c>
      <c r="F49" s="85" t="str">
        <f aca="false">IF(A49="","",IF(ISNUMBER(INDEX(Candidates!$A$1:$Z$500,K49,INDEX($P$2:$P$8,L49))),INDEX(Candidates!$A$1:$Z$500,K49,INDEX($P$2:$P$8,L49)),""))</f>
        <v/>
      </c>
      <c r="G49" s="85" t="n">
        <f aca="false">IF(A49="","",INDEX($Q$2:$Q$8,L49))</f>
        <v>8</v>
      </c>
      <c r="H49" s="85" t="str">
        <f aca="false">IF(A49="","",IF(F49="","Not yet scored",IF(F49&gt;=G49,"Pass","Fail")))</f>
        <v>Not yet scored</v>
      </c>
      <c r="I49" s="85" t="str">
        <f aca="false">IF(A49="","",INDEX(Candidates!$B$1:$B$500,K49))</f>
        <v>Schedule Final Interview</v>
      </c>
      <c r="K49" s="86" t="n">
        <f aca="false">INT((ROW()-2)/7)+2</f>
        <v>8</v>
      </c>
      <c r="L49" s="86" t="n">
        <f aca="false">MOD(ROW()-2,7)+1</f>
        <v>6</v>
      </c>
    </row>
    <row r="50" customFormat="false" ht="15" hidden="false" customHeight="false" outlineLevel="0" collapsed="false">
      <c r="A50" s="85" t="str">
        <f aca="false">IF(INDEX(Candidates!$A$1:$A$500,K50)="","",INDEX(Candidates!$A$1:$A$500,K50))</f>
        <v>Xarles Chavier</v>
      </c>
      <c r="B50" s="85" t="str">
        <f aca="false">IF(A50="","",INDEX(Candidates!$C$1:$C$500,K50))</f>
        <v>Business Operations Associate</v>
      </c>
      <c r="C50" s="85" t="str">
        <f aca="false">IF(A50="","",INDEX(Candidates!$D$1:$D$500,K50))</f>
        <v>Commercial Team</v>
      </c>
      <c r="D50" s="85" t="n">
        <f aca="false">IF(A50="","",L50)</f>
        <v>7</v>
      </c>
      <c r="E50" s="85" t="str">
        <f aca="false">IF(A50="","",INDEX($O$2:$O$8,L50))</f>
        <v>Final Interview</v>
      </c>
      <c r="F50" s="85" t="str">
        <f aca="false">IF(A50="","",IF(ISNUMBER(INDEX(Candidates!$A$1:$Z$500,K50,INDEX($P$2:$P$8,L50))),INDEX(Candidates!$A$1:$Z$500,K50,INDEX($P$2:$P$8,L50)),""))</f>
        <v/>
      </c>
      <c r="G50" s="85" t="n">
        <f aca="false">IF(A50="","",INDEX($Q$2:$Q$8,L50))</f>
        <v>8</v>
      </c>
      <c r="H50" s="85" t="str">
        <f aca="false">IF(A50="","",IF(F50="","Not yet scored",IF(F50&gt;=G50,"Pass","Fail")))</f>
        <v>Not yet scored</v>
      </c>
      <c r="I50" s="85" t="str">
        <f aca="false">IF(A50="","",INDEX(Candidates!$B$1:$B$500,K50))</f>
        <v>Schedule Final Interview</v>
      </c>
      <c r="K50" s="86" t="n">
        <f aca="false">INT((ROW()-2)/7)+2</f>
        <v>8</v>
      </c>
      <c r="L50" s="86" t="n">
        <f aca="false">MOD(ROW()-2,7)+1</f>
        <v>7</v>
      </c>
    </row>
    <row r="51" customFormat="false" ht="15" hidden="false" customHeight="false" outlineLevel="0" collapsed="false">
      <c r="A51" s="85" t="str">
        <f aca="false">IF(INDEX(Candidates!$A$1:$A$500,K51)="","",INDEX(Candidates!$A$1:$A$500,K51))</f>
        <v>Buce Branner</v>
      </c>
      <c r="B51" s="85" t="str">
        <f aca="false">IF(A51="","",INDEX(Candidates!$C$1:$C$500,K51))</f>
        <v>Commercial Lead</v>
      </c>
      <c r="C51" s="85" t="str">
        <f aca="false">IF(A51="","",INDEX(Candidates!$D$1:$D$500,K51))</f>
        <v>Commercial Team</v>
      </c>
      <c r="D51" s="85" t="n">
        <f aca="false">IF(A51="","",L51)</f>
        <v>1</v>
      </c>
      <c r="E51" s="85" t="str">
        <f aca="false">IF(A51="","",INDEX($O$2:$O$8,L51))</f>
        <v>Resume Review</v>
      </c>
      <c r="F51" s="85" t="n">
        <f aca="false">IF(A51="","",IF(ISNUMBER(INDEX(Candidates!$A$1:$Z$500,K51,INDEX($P$2:$P$8,L51))),INDEX(Candidates!$A$1:$Z$500,K51,INDEX($P$2:$P$8,L51)),""))</f>
        <v>6</v>
      </c>
      <c r="G51" s="85" t="n">
        <f aca="false">IF(A51="","",INDEX($Q$2:$Q$8,L51))</f>
        <v>5</v>
      </c>
      <c r="H51" s="85" t="str">
        <f aca="false">IF(A51="","",IF(F51="","Not yet scored",IF(F51&gt;=G51,"Pass","Fail")))</f>
        <v>Pass</v>
      </c>
      <c r="I51" s="85" t="str">
        <f aca="false">IF(A51="","",INDEX(Candidates!$B$1:$B$500,K51))</f>
        <v>FAIL</v>
      </c>
      <c r="K51" s="86" t="n">
        <f aca="false">INT((ROW()-2)/7)+2</f>
        <v>9</v>
      </c>
      <c r="L51" s="86" t="n">
        <f aca="false">MOD(ROW()-2,7)+1</f>
        <v>1</v>
      </c>
    </row>
    <row r="52" customFormat="false" ht="15" hidden="false" customHeight="false" outlineLevel="0" collapsed="false">
      <c r="A52" s="85" t="str">
        <f aca="false">IF(INDEX(Candidates!$A$1:$A$500,K52)="","",INDEX(Candidates!$A$1:$A$500,K52))</f>
        <v>Buce Branner</v>
      </c>
      <c r="B52" s="85" t="str">
        <f aca="false">IF(A52="","",INDEX(Candidates!$C$1:$C$500,K52))</f>
        <v>Commercial Lead</v>
      </c>
      <c r="C52" s="85" t="str">
        <f aca="false">IF(A52="","",INDEX(Candidates!$D$1:$D$500,K52))</f>
        <v>Commercial Team</v>
      </c>
      <c r="D52" s="85" t="n">
        <f aca="false">IF(A52="","",L52)</f>
        <v>2</v>
      </c>
      <c r="E52" s="85" t="str">
        <f aca="false">IF(A52="","",INDEX($O$2:$O$8,L52))</f>
        <v>Tech Assessment</v>
      </c>
      <c r="F52" s="85" t="str">
        <f aca="false">IF(A52="","",IF(ISNUMBER(INDEX(Candidates!$A$1:$Z$500,K52,INDEX($P$2:$P$8,L52))),INDEX(Candidates!$A$1:$Z$500,K52,INDEX($P$2:$P$8,L52)),""))</f>
        <v/>
      </c>
      <c r="G52" s="85" t="n">
        <f aca="false">IF(A52="","",INDEX($Q$2:$Q$8,L52))</f>
        <v>7</v>
      </c>
      <c r="H52" s="85" t="str">
        <f aca="false">IF(A52="","",IF(F52="","Not yet scored",IF(F52&gt;=G52,"Pass","Fail")))</f>
        <v>Not yet scored</v>
      </c>
      <c r="I52" s="85" t="str">
        <f aca="false">IF(A52="","",INDEX(Candidates!$B$1:$B$500,K52))</f>
        <v>FAIL</v>
      </c>
      <c r="K52" s="86" t="n">
        <f aca="false">INT((ROW()-2)/7)+2</f>
        <v>9</v>
      </c>
      <c r="L52" s="86" t="n">
        <f aca="false">MOD(ROW()-2,7)+1</f>
        <v>2</v>
      </c>
    </row>
    <row r="53" customFormat="false" ht="15" hidden="false" customHeight="false" outlineLevel="0" collapsed="false">
      <c r="A53" s="85" t="str">
        <f aca="false">IF(INDEX(Candidates!$A$1:$A$500,K53)="","",INDEX(Candidates!$A$1:$A$500,K53))</f>
        <v>Buce Branner</v>
      </c>
      <c r="B53" s="85" t="str">
        <f aca="false">IF(A53="","",INDEX(Candidates!$C$1:$C$500,K53))</f>
        <v>Commercial Lead</v>
      </c>
      <c r="C53" s="85" t="str">
        <f aca="false">IF(A53="","",INDEX(Candidates!$D$1:$D$500,K53))</f>
        <v>Commercial Team</v>
      </c>
      <c r="D53" s="85" t="n">
        <f aca="false">IF(A53="","",L53)</f>
        <v>3</v>
      </c>
      <c r="E53" s="85" t="str">
        <f aca="false">IF(A53="","",INDEX($O$2:$O$8,L53))</f>
        <v>Initial Meeting</v>
      </c>
      <c r="F53" s="85" t="str">
        <f aca="false">IF(A53="","",IF(ISNUMBER(INDEX(Candidates!$A$1:$Z$500,K53,INDEX($P$2:$P$8,L53))),INDEX(Candidates!$A$1:$Z$500,K53,INDEX($P$2:$P$8,L53)),""))</f>
        <v/>
      </c>
      <c r="G53" s="85" t="n">
        <f aca="false">IF(A53="","",INDEX($Q$2:$Q$8,L53))</f>
        <v>6</v>
      </c>
      <c r="H53" s="85" t="str">
        <f aca="false">IF(A53="","",IF(F53="","Not yet scored",IF(F53&gt;=G53,"Pass","Fail")))</f>
        <v>Not yet scored</v>
      </c>
      <c r="I53" s="85" t="str">
        <f aca="false">IF(A53="","",INDEX(Candidates!$B$1:$B$500,K53))</f>
        <v>FAIL</v>
      </c>
      <c r="K53" s="86" t="n">
        <f aca="false">INT((ROW()-2)/7)+2</f>
        <v>9</v>
      </c>
      <c r="L53" s="86" t="n">
        <f aca="false">MOD(ROW()-2,7)+1</f>
        <v>3</v>
      </c>
    </row>
    <row r="54" customFormat="false" ht="15" hidden="false" customHeight="false" outlineLevel="0" collapsed="false">
      <c r="A54" s="85" t="str">
        <f aca="false">IF(INDEX(Candidates!$A$1:$A$500,K54)="","",INDEX(Candidates!$A$1:$A$500,K54))</f>
        <v>Buce Branner</v>
      </c>
      <c r="B54" s="85" t="str">
        <f aca="false">IF(A54="","",INDEX(Candidates!$C$1:$C$500,K54))</f>
        <v>Commercial Lead</v>
      </c>
      <c r="C54" s="85" t="str">
        <f aca="false">IF(A54="","",INDEX(Candidates!$D$1:$D$500,K54))</f>
        <v>Commercial Team</v>
      </c>
      <c r="D54" s="85" t="n">
        <f aca="false">IF(A54="","",L54)</f>
        <v>4</v>
      </c>
      <c r="E54" s="85" t="str">
        <f aca="false">IF(A54="","",INDEX($O$2:$O$8,L54))</f>
        <v>Portfolio</v>
      </c>
      <c r="F54" s="85" t="str">
        <f aca="false">IF(A54="","",IF(ISNUMBER(INDEX(Candidates!$A$1:$Z$500,K54,INDEX($P$2:$P$8,L54))),INDEX(Candidates!$A$1:$Z$500,K54,INDEX($P$2:$P$8,L54)),""))</f>
        <v/>
      </c>
      <c r="G54" s="85" t="n">
        <f aca="false">IF(A54="","",INDEX($Q$2:$Q$8,L54))</f>
        <v>7</v>
      </c>
      <c r="H54" s="85" t="str">
        <f aca="false">IF(A54="","",IF(F54="","Not yet scored",IF(F54&gt;=G54,"Pass","Fail")))</f>
        <v>Not yet scored</v>
      </c>
      <c r="I54" s="85" t="str">
        <f aca="false">IF(A54="","",INDEX(Candidates!$B$1:$B$500,K54))</f>
        <v>FAIL</v>
      </c>
      <c r="K54" s="86" t="n">
        <f aca="false">INT((ROW()-2)/7)+2</f>
        <v>9</v>
      </c>
      <c r="L54" s="86" t="n">
        <f aca="false">MOD(ROW()-2,7)+1</f>
        <v>4</v>
      </c>
    </row>
    <row r="55" customFormat="false" ht="15" hidden="false" customHeight="false" outlineLevel="0" collapsed="false">
      <c r="A55" s="85" t="str">
        <f aca="false">IF(INDEX(Candidates!$A$1:$A$500,K55)="","",INDEX(Candidates!$A$1:$A$500,K55))</f>
        <v>Buce Branner</v>
      </c>
      <c r="B55" s="85" t="str">
        <f aca="false">IF(A55="","",INDEX(Candidates!$C$1:$C$500,K55))</f>
        <v>Commercial Lead</v>
      </c>
      <c r="C55" s="85" t="str">
        <f aca="false">IF(A55="","",INDEX(Candidates!$D$1:$D$500,K55))</f>
        <v>Commercial Team</v>
      </c>
      <c r="D55" s="85" t="n">
        <f aca="false">IF(A55="","",L55)</f>
        <v>5</v>
      </c>
      <c r="E55" s="85" t="str">
        <f aca="false">IF(A55="","",INDEX($O$2:$O$8,L55))</f>
        <v>Personality Assessment</v>
      </c>
      <c r="F55" s="85" t="n">
        <f aca="false">IF(A55="","",IF(ISNUMBER(INDEX(Candidates!$A$1:$Z$500,K55,INDEX($P$2:$P$8,L55))),INDEX(Candidates!$A$1:$Z$500,K55,INDEX($P$2:$P$8,L55)),""))</f>
        <v>0</v>
      </c>
      <c r="G55" s="85" t="n">
        <f aca="false">IF(A55="","",INDEX($Q$2:$Q$8,L55))</f>
        <v>6</v>
      </c>
      <c r="H55" s="85" t="str">
        <f aca="false">IF(A55="","",IF(F55="","Not yet scored",IF(F55&gt;=G55,"Pass","Fail")))</f>
        <v>Fail</v>
      </c>
      <c r="I55" s="85" t="str">
        <f aca="false">IF(A55="","",INDEX(Candidates!$B$1:$B$500,K55))</f>
        <v>FAIL</v>
      </c>
      <c r="K55" s="86" t="n">
        <f aca="false">INT((ROW()-2)/7)+2</f>
        <v>9</v>
      </c>
      <c r="L55" s="86" t="n">
        <f aca="false">MOD(ROW()-2,7)+1</f>
        <v>5</v>
      </c>
    </row>
    <row r="56" customFormat="false" ht="15" hidden="false" customHeight="false" outlineLevel="0" collapsed="false">
      <c r="A56" s="85" t="str">
        <f aca="false">IF(INDEX(Candidates!$A$1:$A$500,K56)="","",INDEX(Candidates!$A$1:$A$500,K56))</f>
        <v>Buce Branner</v>
      </c>
      <c r="B56" s="85" t="str">
        <f aca="false">IF(A56="","",INDEX(Candidates!$C$1:$C$500,K56))</f>
        <v>Commercial Lead</v>
      </c>
      <c r="C56" s="85" t="str">
        <f aca="false">IF(A56="","",INDEX(Candidates!$D$1:$D$500,K56))</f>
        <v>Commercial Team</v>
      </c>
      <c r="D56" s="85" t="n">
        <f aca="false">IF(A56="","",L56)</f>
        <v>6</v>
      </c>
      <c r="E56" s="85" t="str">
        <f aca="false">IF(A56="","",INDEX($O$2:$O$8,L56))</f>
        <v>Technical Interview</v>
      </c>
      <c r="F56" s="85" t="str">
        <f aca="false">IF(A56="","",IF(ISNUMBER(INDEX(Candidates!$A$1:$Z$500,K56,INDEX($P$2:$P$8,L56))),INDEX(Candidates!$A$1:$Z$500,K56,INDEX($P$2:$P$8,L56)),""))</f>
        <v/>
      </c>
      <c r="G56" s="85" t="n">
        <f aca="false">IF(A56="","",INDEX($Q$2:$Q$8,L56))</f>
        <v>8</v>
      </c>
      <c r="H56" s="85" t="str">
        <f aca="false">IF(A56="","",IF(F56="","Not yet scored",IF(F56&gt;=G56,"Pass","Fail")))</f>
        <v>Not yet scored</v>
      </c>
      <c r="I56" s="85" t="str">
        <f aca="false">IF(A56="","",INDEX(Candidates!$B$1:$B$500,K56))</f>
        <v>FAIL</v>
      </c>
      <c r="K56" s="86" t="n">
        <f aca="false">INT((ROW()-2)/7)+2</f>
        <v>9</v>
      </c>
      <c r="L56" s="86" t="n">
        <f aca="false">MOD(ROW()-2,7)+1</f>
        <v>6</v>
      </c>
    </row>
    <row r="57" customFormat="false" ht="15" hidden="false" customHeight="false" outlineLevel="0" collapsed="false">
      <c r="A57" s="85" t="str">
        <f aca="false">IF(INDEX(Candidates!$A$1:$A$500,K57)="","",INDEX(Candidates!$A$1:$A$500,K57))</f>
        <v>Buce Branner</v>
      </c>
      <c r="B57" s="85" t="str">
        <f aca="false">IF(A57="","",INDEX(Candidates!$C$1:$C$500,K57))</f>
        <v>Commercial Lead</v>
      </c>
      <c r="C57" s="85" t="str">
        <f aca="false">IF(A57="","",INDEX(Candidates!$D$1:$D$500,K57))</f>
        <v>Commercial Team</v>
      </c>
      <c r="D57" s="85" t="n">
        <f aca="false">IF(A57="","",L57)</f>
        <v>7</v>
      </c>
      <c r="E57" s="85" t="str">
        <f aca="false">IF(A57="","",INDEX($O$2:$O$8,L57))</f>
        <v>Final Interview</v>
      </c>
      <c r="F57" s="85" t="str">
        <f aca="false">IF(A57="","",IF(ISNUMBER(INDEX(Candidates!$A$1:$Z$500,K57,INDEX($P$2:$P$8,L57))),INDEX(Candidates!$A$1:$Z$500,K57,INDEX($P$2:$P$8,L57)),""))</f>
        <v/>
      </c>
      <c r="G57" s="85" t="n">
        <f aca="false">IF(A57="","",INDEX($Q$2:$Q$8,L57))</f>
        <v>8</v>
      </c>
      <c r="H57" s="85" t="str">
        <f aca="false">IF(A57="","",IF(F57="","Not yet scored",IF(F57&gt;=G57,"Pass","Fail")))</f>
        <v>Not yet scored</v>
      </c>
      <c r="I57" s="85" t="str">
        <f aca="false">IF(A57="","",INDEX(Candidates!$B$1:$B$500,K57))</f>
        <v>FAIL</v>
      </c>
      <c r="K57" s="86" t="n">
        <f aca="false">INT((ROW()-2)/7)+2</f>
        <v>9</v>
      </c>
      <c r="L57" s="86" t="n">
        <f aca="false">MOD(ROW()-2,7)+1</f>
        <v>7</v>
      </c>
    </row>
    <row r="58" customFormat="false" ht="15" hidden="false" customHeight="false" outlineLevel="0" collapsed="false">
      <c r="A58" s="85" t="str">
        <f aca="false">IF(INDEX(Candidates!$A$1:$A$500,K58)="","",INDEX(Candidates!$A$1:$A$500,K58))</f>
        <v>Peter Parker</v>
      </c>
      <c r="B58" s="85" t="str">
        <f aca="false">IF(A58="","",INDEX(Candidates!$C$1:$C$500,K58))</f>
        <v>Back-End Developer</v>
      </c>
      <c r="C58" s="85" t="str">
        <f aca="false">IF(A58="","",INDEX(Candidates!$D$1:$D$500,K58))</f>
        <v>Software Developer</v>
      </c>
      <c r="D58" s="85" t="n">
        <f aca="false">IF(A58="","",L58)</f>
        <v>1</v>
      </c>
      <c r="E58" s="85" t="str">
        <f aca="false">IF(A58="","",INDEX($O$2:$O$8,L58))</f>
        <v>Resume Review</v>
      </c>
      <c r="F58" s="85" t="n">
        <f aca="false">IF(A58="","",IF(ISNUMBER(INDEX(Candidates!$A$1:$Z$500,K58,INDEX($P$2:$P$8,L58))),INDEX(Candidates!$A$1:$Z$500,K58,INDEX($P$2:$P$8,L58)),""))</f>
        <v>7</v>
      </c>
      <c r="G58" s="85" t="n">
        <f aca="false">IF(A58="","",INDEX($Q$2:$Q$8,L58))</f>
        <v>5</v>
      </c>
      <c r="H58" s="85" t="str">
        <f aca="false">IF(A58="","",IF(F58="","Not yet scored",IF(F58&gt;=G58,"Pass","Fail")))</f>
        <v>Pass</v>
      </c>
      <c r="I58" s="85" t="str">
        <f aca="false">IF(A58="","",INDEX(Candidates!$B$1:$B$500,K58))</f>
        <v>FAIL</v>
      </c>
      <c r="K58" s="86" t="n">
        <f aca="false">INT((ROW()-2)/7)+2</f>
        <v>10</v>
      </c>
      <c r="L58" s="86" t="n">
        <f aca="false">MOD(ROW()-2,7)+1</f>
        <v>1</v>
      </c>
    </row>
    <row r="59" customFormat="false" ht="15" hidden="false" customHeight="false" outlineLevel="0" collapsed="false">
      <c r="A59" s="85" t="str">
        <f aca="false">IF(INDEX(Candidates!$A$1:$A$500,K59)="","",INDEX(Candidates!$A$1:$A$500,K59))</f>
        <v>Peter Parker</v>
      </c>
      <c r="B59" s="85" t="str">
        <f aca="false">IF(A59="","",INDEX(Candidates!$C$1:$C$500,K59))</f>
        <v>Back-End Developer</v>
      </c>
      <c r="C59" s="85" t="str">
        <f aca="false">IF(A59="","",INDEX(Candidates!$D$1:$D$500,K59))</f>
        <v>Software Developer</v>
      </c>
      <c r="D59" s="85" t="n">
        <f aca="false">IF(A59="","",L59)</f>
        <v>2</v>
      </c>
      <c r="E59" s="85" t="str">
        <f aca="false">IF(A59="","",INDEX($O$2:$O$8,L59))</f>
        <v>Tech Assessment</v>
      </c>
      <c r="F59" s="85" t="str">
        <f aca="false">IF(A59="","",IF(ISNUMBER(INDEX(Candidates!$A$1:$Z$500,K59,INDEX($P$2:$P$8,L59))),INDEX(Candidates!$A$1:$Z$500,K59,INDEX($P$2:$P$8,L59)),""))</f>
        <v/>
      </c>
      <c r="G59" s="85" t="n">
        <f aca="false">IF(A59="","",INDEX($Q$2:$Q$8,L59))</f>
        <v>7</v>
      </c>
      <c r="H59" s="85" t="str">
        <f aca="false">IF(A59="","",IF(F59="","Not yet scored",IF(F59&gt;=G59,"Pass","Fail")))</f>
        <v>Not yet scored</v>
      </c>
      <c r="I59" s="85" t="str">
        <f aca="false">IF(A59="","",INDEX(Candidates!$B$1:$B$500,K59))</f>
        <v>FAIL</v>
      </c>
      <c r="K59" s="86" t="n">
        <f aca="false">INT((ROW()-2)/7)+2</f>
        <v>10</v>
      </c>
      <c r="L59" s="86" t="n">
        <f aca="false">MOD(ROW()-2,7)+1</f>
        <v>2</v>
      </c>
    </row>
    <row r="60" customFormat="false" ht="15" hidden="false" customHeight="false" outlineLevel="0" collapsed="false">
      <c r="A60" s="85" t="str">
        <f aca="false">IF(INDEX(Candidates!$A$1:$A$500,K60)="","",INDEX(Candidates!$A$1:$A$500,K60))</f>
        <v>Peter Parker</v>
      </c>
      <c r="B60" s="85" t="str">
        <f aca="false">IF(A60="","",INDEX(Candidates!$C$1:$C$500,K60))</f>
        <v>Back-End Developer</v>
      </c>
      <c r="C60" s="85" t="str">
        <f aca="false">IF(A60="","",INDEX(Candidates!$D$1:$D$500,K60))</f>
        <v>Software Developer</v>
      </c>
      <c r="D60" s="85" t="n">
        <f aca="false">IF(A60="","",L60)</f>
        <v>3</v>
      </c>
      <c r="E60" s="85" t="str">
        <f aca="false">IF(A60="","",INDEX($O$2:$O$8,L60))</f>
        <v>Initial Meeting</v>
      </c>
      <c r="F60" s="85" t="str">
        <f aca="false">IF(A60="","",IF(ISNUMBER(INDEX(Candidates!$A$1:$Z$500,K60,INDEX($P$2:$P$8,L60))),INDEX(Candidates!$A$1:$Z$500,K60,INDEX($P$2:$P$8,L60)),""))</f>
        <v/>
      </c>
      <c r="G60" s="85" t="n">
        <f aca="false">IF(A60="","",INDEX($Q$2:$Q$8,L60))</f>
        <v>6</v>
      </c>
      <c r="H60" s="85" t="str">
        <f aca="false">IF(A60="","",IF(F60="","Not yet scored",IF(F60&gt;=G60,"Pass","Fail")))</f>
        <v>Not yet scored</v>
      </c>
      <c r="I60" s="85" t="str">
        <f aca="false">IF(A60="","",INDEX(Candidates!$B$1:$B$500,K60))</f>
        <v>FAIL</v>
      </c>
      <c r="K60" s="86" t="n">
        <f aca="false">INT((ROW()-2)/7)+2</f>
        <v>10</v>
      </c>
      <c r="L60" s="86" t="n">
        <f aca="false">MOD(ROW()-2,7)+1</f>
        <v>3</v>
      </c>
    </row>
    <row r="61" customFormat="false" ht="15" hidden="false" customHeight="false" outlineLevel="0" collapsed="false">
      <c r="A61" s="85" t="str">
        <f aca="false">IF(INDEX(Candidates!$A$1:$A$500,K61)="","",INDEX(Candidates!$A$1:$A$500,K61))</f>
        <v>Peter Parker</v>
      </c>
      <c r="B61" s="85" t="str">
        <f aca="false">IF(A61="","",INDEX(Candidates!$C$1:$C$500,K61))</f>
        <v>Back-End Developer</v>
      </c>
      <c r="C61" s="85" t="str">
        <f aca="false">IF(A61="","",INDEX(Candidates!$D$1:$D$500,K61))</f>
        <v>Software Developer</v>
      </c>
      <c r="D61" s="85" t="n">
        <f aca="false">IF(A61="","",L61)</f>
        <v>4</v>
      </c>
      <c r="E61" s="85" t="str">
        <f aca="false">IF(A61="","",INDEX($O$2:$O$8,L61))</f>
        <v>Portfolio</v>
      </c>
      <c r="F61" s="85" t="str">
        <f aca="false">IF(A61="","",IF(ISNUMBER(INDEX(Candidates!$A$1:$Z$500,K61,INDEX($P$2:$P$8,L61))),INDEX(Candidates!$A$1:$Z$500,K61,INDEX($P$2:$P$8,L61)),""))</f>
        <v/>
      </c>
      <c r="G61" s="85" t="n">
        <f aca="false">IF(A61="","",INDEX($Q$2:$Q$8,L61))</f>
        <v>7</v>
      </c>
      <c r="H61" s="85" t="str">
        <f aca="false">IF(A61="","",IF(F61="","Not yet scored",IF(F61&gt;=G61,"Pass","Fail")))</f>
        <v>Not yet scored</v>
      </c>
      <c r="I61" s="85" t="str">
        <f aca="false">IF(A61="","",INDEX(Candidates!$B$1:$B$500,K61))</f>
        <v>FAIL</v>
      </c>
      <c r="K61" s="86" t="n">
        <f aca="false">INT((ROW()-2)/7)+2</f>
        <v>10</v>
      </c>
      <c r="L61" s="86" t="n">
        <f aca="false">MOD(ROW()-2,7)+1</f>
        <v>4</v>
      </c>
    </row>
    <row r="62" customFormat="false" ht="15" hidden="false" customHeight="false" outlineLevel="0" collapsed="false">
      <c r="A62" s="85" t="str">
        <f aca="false">IF(INDEX(Candidates!$A$1:$A$500,K62)="","",INDEX(Candidates!$A$1:$A$500,K62))</f>
        <v>Peter Parker</v>
      </c>
      <c r="B62" s="85" t="str">
        <f aca="false">IF(A62="","",INDEX(Candidates!$C$1:$C$500,K62))</f>
        <v>Back-End Developer</v>
      </c>
      <c r="C62" s="85" t="str">
        <f aca="false">IF(A62="","",INDEX(Candidates!$D$1:$D$500,K62))</f>
        <v>Software Developer</v>
      </c>
      <c r="D62" s="85" t="n">
        <f aca="false">IF(A62="","",L62)</f>
        <v>5</v>
      </c>
      <c r="E62" s="85" t="str">
        <f aca="false">IF(A62="","",INDEX($O$2:$O$8,L62))</f>
        <v>Personality Assessment</v>
      </c>
      <c r="F62" s="85" t="n">
        <f aca="false">IF(A62="","",IF(ISNUMBER(INDEX(Candidates!$A$1:$Z$500,K62,INDEX($P$2:$P$8,L62))),INDEX(Candidates!$A$1:$Z$500,K62,INDEX($P$2:$P$8,L62)),""))</f>
        <v>4</v>
      </c>
      <c r="G62" s="85" t="n">
        <f aca="false">IF(A62="","",INDEX($Q$2:$Q$8,L62))</f>
        <v>6</v>
      </c>
      <c r="H62" s="85" t="str">
        <f aca="false">IF(A62="","",IF(F62="","Not yet scored",IF(F62&gt;=G62,"Pass","Fail")))</f>
        <v>Fail</v>
      </c>
      <c r="I62" s="85" t="str">
        <f aca="false">IF(A62="","",INDEX(Candidates!$B$1:$B$500,K62))</f>
        <v>FAIL</v>
      </c>
      <c r="K62" s="86" t="n">
        <f aca="false">INT((ROW()-2)/7)+2</f>
        <v>10</v>
      </c>
      <c r="L62" s="86" t="n">
        <f aca="false">MOD(ROW()-2,7)+1</f>
        <v>5</v>
      </c>
    </row>
    <row r="63" customFormat="false" ht="15" hidden="false" customHeight="false" outlineLevel="0" collapsed="false">
      <c r="A63" s="85" t="str">
        <f aca="false">IF(INDEX(Candidates!$A$1:$A$500,K63)="","",INDEX(Candidates!$A$1:$A$500,K63))</f>
        <v>Peter Parker</v>
      </c>
      <c r="B63" s="85" t="str">
        <f aca="false">IF(A63="","",INDEX(Candidates!$C$1:$C$500,K63))</f>
        <v>Back-End Developer</v>
      </c>
      <c r="C63" s="85" t="str">
        <f aca="false">IF(A63="","",INDEX(Candidates!$D$1:$D$500,K63))</f>
        <v>Software Developer</v>
      </c>
      <c r="D63" s="85" t="n">
        <f aca="false">IF(A63="","",L63)</f>
        <v>6</v>
      </c>
      <c r="E63" s="85" t="str">
        <f aca="false">IF(A63="","",INDEX($O$2:$O$8,L63))</f>
        <v>Technical Interview</v>
      </c>
      <c r="F63" s="85" t="str">
        <f aca="false">IF(A63="","",IF(ISNUMBER(INDEX(Candidates!$A$1:$Z$500,K63,INDEX($P$2:$P$8,L63))),INDEX(Candidates!$A$1:$Z$500,K63,INDEX($P$2:$P$8,L63)),""))</f>
        <v/>
      </c>
      <c r="G63" s="85" t="n">
        <f aca="false">IF(A63="","",INDEX($Q$2:$Q$8,L63))</f>
        <v>8</v>
      </c>
      <c r="H63" s="85" t="str">
        <f aca="false">IF(A63="","",IF(F63="","Not yet scored",IF(F63&gt;=G63,"Pass","Fail")))</f>
        <v>Not yet scored</v>
      </c>
      <c r="I63" s="85" t="str">
        <f aca="false">IF(A63="","",INDEX(Candidates!$B$1:$B$500,K63))</f>
        <v>FAIL</v>
      </c>
      <c r="K63" s="86" t="n">
        <f aca="false">INT((ROW()-2)/7)+2</f>
        <v>10</v>
      </c>
      <c r="L63" s="86" t="n">
        <f aca="false">MOD(ROW()-2,7)+1</f>
        <v>6</v>
      </c>
    </row>
    <row r="64" customFormat="false" ht="15" hidden="false" customHeight="false" outlineLevel="0" collapsed="false">
      <c r="A64" s="85" t="str">
        <f aca="false">IF(INDEX(Candidates!$A$1:$A$500,K64)="","",INDEX(Candidates!$A$1:$A$500,K64))</f>
        <v>Peter Parker</v>
      </c>
      <c r="B64" s="85" t="str">
        <f aca="false">IF(A64="","",INDEX(Candidates!$C$1:$C$500,K64))</f>
        <v>Back-End Developer</v>
      </c>
      <c r="C64" s="85" t="str">
        <f aca="false">IF(A64="","",INDEX(Candidates!$D$1:$D$500,K64))</f>
        <v>Software Developer</v>
      </c>
      <c r="D64" s="85" t="n">
        <f aca="false">IF(A64="","",L64)</f>
        <v>7</v>
      </c>
      <c r="E64" s="85" t="str">
        <f aca="false">IF(A64="","",INDEX($O$2:$O$8,L64))</f>
        <v>Final Interview</v>
      </c>
      <c r="F64" s="85" t="str">
        <f aca="false">IF(A64="","",IF(ISNUMBER(INDEX(Candidates!$A$1:$Z$500,K64,INDEX($P$2:$P$8,L64))),INDEX(Candidates!$A$1:$Z$500,K64,INDEX($P$2:$P$8,L64)),""))</f>
        <v/>
      </c>
      <c r="G64" s="85" t="n">
        <f aca="false">IF(A64="","",INDEX($Q$2:$Q$8,L64))</f>
        <v>8</v>
      </c>
      <c r="H64" s="85" t="str">
        <f aca="false">IF(A64="","",IF(F64="","Not yet scored",IF(F64&gt;=G64,"Pass","Fail")))</f>
        <v>Not yet scored</v>
      </c>
      <c r="I64" s="85" t="str">
        <f aca="false">IF(A64="","",INDEX(Candidates!$B$1:$B$500,K64))</f>
        <v>FAIL</v>
      </c>
      <c r="K64" s="86" t="n">
        <f aca="false">INT((ROW()-2)/7)+2</f>
        <v>10</v>
      </c>
      <c r="L64" s="86" t="n">
        <f aca="false">MOD(ROW()-2,7)+1</f>
        <v>7</v>
      </c>
    </row>
    <row r="65" customFormat="false" ht="15" hidden="false" customHeight="false" outlineLevel="0" collapsed="false">
      <c r="A65" s="85" t="str">
        <f aca="false">IF(INDEX(Candidates!$A$1:$A$500,K65)="","",INDEX(Candidates!$A$1:$A$500,K65))</f>
        <v>Maunt Ay</v>
      </c>
      <c r="B65" s="85" t="str">
        <f aca="false">IF(A65="","",INDEX(Candidates!$C$1:$C$500,K65))</f>
        <v>Multimedia Creator</v>
      </c>
      <c r="C65" s="85" t="str">
        <f aca="false">IF(A65="","",INDEX(Candidates!$D$1:$D$500,K65))</f>
        <v>Graphic Designer</v>
      </c>
      <c r="D65" s="85" t="n">
        <f aca="false">IF(A65="","",L65)</f>
        <v>1</v>
      </c>
      <c r="E65" s="85" t="str">
        <f aca="false">IF(A65="","",INDEX($O$2:$O$8,L65))</f>
        <v>Resume Review</v>
      </c>
      <c r="F65" s="85" t="n">
        <f aca="false">IF(A65="","",IF(ISNUMBER(INDEX(Candidates!$A$1:$Z$500,K65,INDEX($P$2:$P$8,L65))),INDEX(Candidates!$A$1:$Z$500,K65,INDEX($P$2:$P$8,L65)),""))</f>
        <v>7</v>
      </c>
      <c r="G65" s="85" t="n">
        <f aca="false">IF(A65="","",INDEX($Q$2:$Q$8,L65))</f>
        <v>5</v>
      </c>
      <c r="H65" s="85" t="str">
        <f aca="false">IF(A65="","",IF(F65="","Not yet scored",IF(F65&gt;=G65,"Pass","Fail")))</f>
        <v>Pass</v>
      </c>
      <c r="I65" s="85" t="str">
        <f aca="false">IF(A65="","",INDEX(Candidates!$B$1:$B$500,K65))</f>
        <v>Ask for Portfolio</v>
      </c>
      <c r="K65" s="86" t="n">
        <f aca="false">INT((ROW()-2)/7)+2</f>
        <v>11</v>
      </c>
      <c r="L65" s="86" t="n">
        <f aca="false">MOD(ROW()-2,7)+1</f>
        <v>1</v>
      </c>
    </row>
    <row r="66" customFormat="false" ht="15" hidden="false" customHeight="false" outlineLevel="0" collapsed="false">
      <c r="A66" s="85" t="str">
        <f aca="false">IF(INDEX(Candidates!$A$1:$A$500,K66)="","",INDEX(Candidates!$A$1:$A$500,K66))</f>
        <v>Maunt Ay</v>
      </c>
      <c r="B66" s="85" t="str">
        <f aca="false">IF(A66="","",INDEX(Candidates!$C$1:$C$500,K66))</f>
        <v>Multimedia Creator</v>
      </c>
      <c r="C66" s="85" t="str">
        <f aca="false">IF(A66="","",INDEX(Candidates!$D$1:$D$500,K66))</f>
        <v>Graphic Designer</v>
      </c>
      <c r="D66" s="85" t="n">
        <f aca="false">IF(A66="","",L66)</f>
        <v>2</v>
      </c>
      <c r="E66" s="85" t="str">
        <f aca="false">IF(A66="","",INDEX($O$2:$O$8,L66))</f>
        <v>Tech Assessment</v>
      </c>
      <c r="F66" s="85" t="str">
        <f aca="false">IF(A66="","",IF(ISNUMBER(INDEX(Candidates!$A$1:$Z$500,K66,INDEX($P$2:$P$8,L66))),INDEX(Candidates!$A$1:$Z$500,K66,INDEX($P$2:$P$8,L66)),""))</f>
        <v/>
      </c>
      <c r="G66" s="85" t="n">
        <f aca="false">IF(A66="","",INDEX($Q$2:$Q$8,L66))</f>
        <v>7</v>
      </c>
      <c r="H66" s="85" t="str">
        <f aca="false">IF(A66="","",IF(F66="","Not yet scored",IF(F66&gt;=G66,"Pass","Fail")))</f>
        <v>Not yet scored</v>
      </c>
      <c r="I66" s="85" t="str">
        <f aca="false">IF(A66="","",INDEX(Candidates!$B$1:$B$500,K66))</f>
        <v>Ask for Portfolio</v>
      </c>
      <c r="K66" s="86" t="n">
        <f aca="false">INT((ROW()-2)/7)+2</f>
        <v>11</v>
      </c>
      <c r="L66" s="86" t="n">
        <f aca="false">MOD(ROW()-2,7)+1</f>
        <v>2</v>
      </c>
    </row>
    <row r="67" customFormat="false" ht="15" hidden="false" customHeight="false" outlineLevel="0" collapsed="false">
      <c r="A67" s="85" t="str">
        <f aca="false">IF(INDEX(Candidates!$A$1:$A$500,K67)="","",INDEX(Candidates!$A$1:$A$500,K67))</f>
        <v>Maunt Ay</v>
      </c>
      <c r="B67" s="85" t="str">
        <f aca="false">IF(A67="","",INDEX(Candidates!$C$1:$C$500,K67))</f>
        <v>Multimedia Creator</v>
      </c>
      <c r="C67" s="85" t="str">
        <f aca="false">IF(A67="","",INDEX(Candidates!$D$1:$D$500,K67))</f>
        <v>Graphic Designer</v>
      </c>
      <c r="D67" s="85" t="n">
        <f aca="false">IF(A67="","",L67)</f>
        <v>3</v>
      </c>
      <c r="E67" s="85" t="str">
        <f aca="false">IF(A67="","",INDEX($O$2:$O$8,L67))</f>
        <v>Initial Meeting</v>
      </c>
      <c r="F67" s="85" t="str">
        <f aca="false">IF(A67="","",IF(ISNUMBER(INDEX(Candidates!$A$1:$Z$500,K67,INDEX($P$2:$P$8,L67))),INDEX(Candidates!$A$1:$Z$500,K67,INDEX($P$2:$P$8,L67)),""))</f>
        <v/>
      </c>
      <c r="G67" s="85" t="n">
        <f aca="false">IF(A67="","",INDEX($Q$2:$Q$8,L67))</f>
        <v>6</v>
      </c>
      <c r="H67" s="85" t="str">
        <f aca="false">IF(A67="","",IF(F67="","Not yet scored",IF(F67&gt;=G67,"Pass","Fail")))</f>
        <v>Not yet scored</v>
      </c>
      <c r="I67" s="85" t="str">
        <f aca="false">IF(A67="","",INDEX(Candidates!$B$1:$B$500,K67))</f>
        <v>Ask for Portfolio</v>
      </c>
      <c r="K67" s="86" t="n">
        <f aca="false">INT((ROW()-2)/7)+2</f>
        <v>11</v>
      </c>
      <c r="L67" s="86" t="n">
        <f aca="false">MOD(ROW()-2,7)+1</f>
        <v>3</v>
      </c>
    </row>
    <row r="68" customFormat="false" ht="15" hidden="false" customHeight="false" outlineLevel="0" collapsed="false">
      <c r="A68" s="85" t="str">
        <f aca="false">IF(INDEX(Candidates!$A$1:$A$500,K68)="","",INDEX(Candidates!$A$1:$A$500,K68))</f>
        <v>Maunt Ay</v>
      </c>
      <c r="B68" s="85" t="str">
        <f aca="false">IF(A68="","",INDEX(Candidates!$C$1:$C$500,K68))</f>
        <v>Multimedia Creator</v>
      </c>
      <c r="C68" s="85" t="str">
        <f aca="false">IF(A68="","",INDEX(Candidates!$D$1:$D$500,K68))</f>
        <v>Graphic Designer</v>
      </c>
      <c r="D68" s="85" t="n">
        <f aca="false">IF(A68="","",L68)</f>
        <v>4</v>
      </c>
      <c r="E68" s="85" t="str">
        <f aca="false">IF(A68="","",INDEX($O$2:$O$8,L68))</f>
        <v>Portfolio</v>
      </c>
      <c r="F68" s="85" t="str">
        <f aca="false">IF(A68="","",IF(ISNUMBER(INDEX(Candidates!$A$1:$Z$500,K68,INDEX($P$2:$P$8,L68))),INDEX(Candidates!$A$1:$Z$500,K68,INDEX($P$2:$P$8,L68)),""))</f>
        <v/>
      </c>
      <c r="G68" s="85" t="n">
        <f aca="false">IF(A68="","",INDEX($Q$2:$Q$8,L68))</f>
        <v>7</v>
      </c>
      <c r="H68" s="85" t="str">
        <f aca="false">IF(A68="","",IF(F68="","Not yet scored",IF(F68&gt;=G68,"Pass","Fail")))</f>
        <v>Not yet scored</v>
      </c>
      <c r="I68" s="85" t="str">
        <f aca="false">IF(A68="","",INDEX(Candidates!$B$1:$B$500,K68))</f>
        <v>Ask for Portfolio</v>
      </c>
      <c r="K68" s="86" t="n">
        <f aca="false">INT((ROW()-2)/7)+2</f>
        <v>11</v>
      </c>
      <c r="L68" s="86" t="n">
        <f aca="false">MOD(ROW()-2,7)+1</f>
        <v>4</v>
      </c>
    </row>
    <row r="69" customFormat="false" ht="15" hidden="false" customHeight="false" outlineLevel="0" collapsed="false">
      <c r="A69" s="85" t="str">
        <f aca="false">IF(INDEX(Candidates!$A$1:$A$500,K69)="","",INDEX(Candidates!$A$1:$A$500,K69))</f>
        <v>Maunt Ay</v>
      </c>
      <c r="B69" s="85" t="str">
        <f aca="false">IF(A69="","",INDEX(Candidates!$C$1:$C$500,K69))</f>
        <v>Multimedia Creator</v>
      </c>
      <c r="C69" s="85" t="str">
        <f aca="false">IF(A69="","",INDEX(Candidates!$D$1:$D$500,K69))</f>
        <v>Graphic Designer</v>
      </c>
      <c r="D69" s="85" t="n">
        <f aca="false">IF(A69="","",L69)</f>
        <v>5</v>
      </c>
      <c r="E69" s="85" t="str">
        <f aca="false">IF(A69="","",INDEX($O$2:$O$8,L69))</f>
        <v>Personality Assessment</v>
      </c>
      <c r="F69" s="85" t="str">
        <f aca="false">IF(A69="","",IF(ISNUMBER(INDEX(Candidates!$A$1:$Z$500,K69,INDEX($P$2:$P$8,L69))),INDEX(Candidates!$A$1:$Z$500,K69,INDEX($P$2:$P$8,L69)),""))</f>
        <v/>
      </c>
      <c r="G69" s="85" t="n">
        <f aca="false">IF(A69="","",INDEX($Q$2:$Q$8,L69))</f>
        <v>6</v>
      </c>
      <c r="H69" s="85" t="str">
        <f aca="false">IF(A69="","",IF(F69="","Not yet scored",IF(F69&gt;=G69,"Pass","Fail")))</f>
        <v>Not yet scored</v>
      </c>
      <c r="I69" s="85" t="str">
        <f aca="false">IF(A69="","",INDEX(Candidates!$B$1:$B$500,K69))</f>
        <v>Ask for Portfolio</v>
      </c>
      <c r="K69" s="86" t="n">
        <f aca="false">INT((ROW()-2)/7)+2</f>
        <v>11</v>
      </c>
      <c r="L69" s="86" t="n">
        <f aca="false">MOD(ROW()-2,7)+1</f>
        <v>5</v>
      </c>
    </row>
    <row r="70" customFormat="false" ht="15" hidden="false" customHeight="false" outlineLevel="0" collapsed="false">
      <c r="A70" s="85" t="str">
        <f aca="false">IF(INDEX(Candidates!$A$1:$A$500,K70)="","",INDEX(Candidates!$A$1:$A$500,K70))</f>
        <v>Maunt Ay</v>
      </c>
      <c r="B70" s="85" t="str">
        <f aca="false">IF(A70="","",INDEX(Candidates!$C$1:$C$500,K70))</f>
        <v>Multimedia Creator</v>
      </c>
      <c r="C70" s="85" t="str">
        <f aca="false">IF(A70="","",INDEX(Candidates!$D$1:$D$500,K70))</f>
        <v>Graphic Designer</v>
      </c>
      <c r="D70" s="85" t="n">
        <f aca="false">IF(A70="","",L70)</f>
        <v>6</v>
      </c>
      <c r="E70" s="85" t="str">
        <f aca="false">IF(A70="","",INDEX($O$2:$O$8,L70))</f>
        <v>Technical Interview</v>
      </c>
      <c r="F70" s="85" t="str">
        <f aca="false">IF(A70="","",IF(ISNUMBER(INDEX(Candidates!$A$1:$Z$500,K70,INDEX($P$2:$P$8,L70))),INDEX(Candidates!$A$1:$Z$500,K70,INDEX($P$2:$P$8,L70)),""))</f>
        <v/>
      </c>
      <c r="G70" s="85" t="n">
        <f aca="false">IF(A70="","",INDEX($Q$2:$Q$8,L70))</f>
        <v>8</v>
      </c>
      <c r="H70" s="85" t="str">
        <f aca="false">IF(A70="","",IF(F70="","Not yet scored",IF(F70&gt;=G70,"Pass","Fail")))</f>
        <v>Not yet scored</v>
      </c>
      <c r="I70" s="85" t="str">
        <f aca="false">IF(A70="","",INDEX(Candidates!$B$1:$B$500,K70))</f>
        <v>Ask for Portfolio</v>
      </c>
      <c r="K70" s="86" t="n">
        <f aca="false">INT((ROW()-2)/7)+2</f>
        <v>11</v>
      </c>
      <c r="L70" s="86" t="n">
        <f aca="false">MOD(ROW()-2,7)+1</f>
        <v>6</v>
      </c>
    </row>
    <row r="71" customFormat="false" ht="15" hidden="false" customHeight="false" outlineLevel="0" collapsed="false">
      <c r="A71" s="85" t="str">
        <f aca="false">IF(INDEX(Candidates!$A$1:$A$500,K71)="","",INDEX(Candidates!$A$1:$A$500,K71))</f>
        <v>Maunt Ay</v>
      </c>
      <c r="B71" s="85" t="str">
        <f aca="false">IF(A71="","",INDEX(Candidates!$C$1:$C$500,K71))</f>
        <v>Multimedia Creator</v>
      </c>
      <c r="C71" s="85" t="str">
        <f aca="false">IF(A71="","",INDEX(Candidates!$D$1:$D$500,K71))</f>
        <v>Graphic Designer</v>
      </c>
      <c r="D71" s="85" t="n">
        <f aca="false">IF(A71="","",L71)</f>
        <v>7</v>
      </c>
      <c r="E71" s="85" t="str">
        <f aca="false">IF(A71="","",INDEX($O$2:$O$8,L71))</f>
        <v>Final Interview</v>
      </c>
      <c r="F71" s="85" t="str">
        <f aca="false">IF(A71="","",IF(ISNUMBER(INDEX(Candidates!$A$1:$Z$500,K71,INDEX($P$2:$P$8,L71))),INDEX(Candidates!$A$1:$Z$500,K71,INDEX($P$2:$P$8,L71)),""))</f>
        <v/>
      </c>
      <c r="G71" s="85" t="n">
        <f aca="false">IF(A71="","",INDEX($Q$2:$Q$8,L71))</f>
        <v>8</v>
      </c>
      <c r="H71" s="85" t="str">
        <f aca="false">IF(A71="","",IF(F71="","Not yet scored",IF(F71&gt;=G71,"Pass","Fail")))</f>
        <v>Not yet scored</v>
      </c>
      <c r="I71" s="85" t="str">
        <f aca="false">IF(A71="","",INDEX(Candidates!$B$1:$B$500,K71))</f>
        <v>Ask for Portfolio</v>
      </c>
      <c r="K71" s="86" t="n">
        <f aca="false">INT((ROW()-2)/7)+2</f>
        <v>11</v>
      </c>
      <c r="L71" s="86" t="n">
        <f aca="false">MOD(ROW()-2,7)+1</f>
        <v>7</v>
      </c>
    </row>
    <row r="72" customFormat="false" ht="15" hidden="false" customHeight="false" outlineLevel="0" collapsed="false">
      <c r="A72" s="85" t="str">
        <f aca="false">IF(INDEX(Candidates!$A$1:$A$500,K72)="","",INDEX(Candidates!$A$1:$A$500,K72))</f>
        <v>Ratasha Nomanov</v>
      </c>
      <c r="B72" s="85" t="str">
        <f aca="false">IF(A72="","",INDEX(Candidates!$C$1:$C$500,K72))</f>
        <v>Commercial Lead</v>
      </c>
      <c r="C72" s="85" t="str">
        <f aca="false">IF(A72="","",INDEX(Candidates!$D$1:$D$500,K72))</f>
        <v>Commercial Team</v>
      </c>
      <c r="D72" s="85" t="n">
        <f aca="false">IF(A72="","",L72)</f>
        <v>1</v>
      </c>
      <c r="E72" s="85" t="str">
        <f aca="false">IF(A72="","",INDEX($O$2:$O$8,L72))</f>
        <v>Resume Review</v>
      </c>
      <c r="F72" s="85" t="n">
        <f aca="false">IF(A72="","",IF(ISNUMBER(INDEX(Candidates!$A$1:$Z$500,K72,INDEX($P$2:$P$8,L72))),INDEX(Candidates!$A$1:$Z$500,K72,INDEX($P$2:$P$8,L72)),""))</f>
        <v>4</v>
      </c>
      <c r="G72" s="85" t="n">
        <f aca="false">IF(A72="","",INDEX($Q$2:$Q$8,L72))</f>
        <v>5</v>
      </c>
      <c r="H72" s="85" t="str">
        <f aca="false">IF(A72="","",IF(F72="","Not yet scored",IF(F72&gt;=G72,"Pass","Fail")))</f>
        <v>Fail</v>
      </c>
      <c r="I72" s="85" t="str">
        <f aca="false">IF(A72="","",INDEX(Candidates!$B$1:$B$500,K72))</f>
        <v>FAIL</v>
      </c>
      <c r="K72" s="86" t="n">
        <f aca="false">INT((ROW()-2)/7)+2</f>
        <v>12</v>
      </c>
      <c r="L72" s="86" t="n">
        <f aca="false">MOD(ROW()-2,7)+1</f>
        <v>1</v>
      </c>
    </row>
    <row r="73" customFormat="false" ht="15" hidden="false" customHeight="false" outlineLevel="0" collapsed="false">
      <c r="A73" s="85" t="str">
        <f aca="false">IF(INDEX(Candidates!$A$1:$A$500,K73)="","",INDEX(Candidates!$A$1:$A$500,K73))</f>
        <v>Ratasha Nomanov</v>
      </c>
      <c r="B73" s="85" t="str">
        <f aca="false">IF(A73="","",INDEX(Candidates!$C$1:$C$500,K73))</f>
        <v>Commercial Lead</v>
      </c>
      <c r="C73" s="85" t="str">
        <f aca="false">IF(A73="","",INDEX(Candidates!$D$1:$D$500,K73))</f>
        <v>Commercial Team</v>
      </c>
      <c r="D73" s="85" t="n">
        <f aca="false">IF(A73="","",L73)</f>
        <v>2</v>
      </c>
      <c r="E73" s="85" t="str">
        <f aca="false">IF(A73="","",INDEX($O$2:$O$8,L73))</f>
        <v>Tech Assessment</v>
      </c>
      <c r="F73" s="85" t="str">
        <f aca="false">IF(A73="","",IF(ISNUMBER(INDEX(Candidates!$A$1:$Z$500,K73,INDEX($P$2:$P$8,L73))),INDEX(Candidates!$A$1:$Z$500,K73,INDEX($P$2:$P$8,L73)),""))</f>
        <v/>
      </c>
      <c r="G73" s="85" t="n">
        <f aca="false">IF(A73="","",INDEX($Q$2:$Q$8,L73))</f>
        <v>7</v>
      </c>
      <c r="H73" s="85" t="str">
        <f aca="false">IF(A73="","",IF(F73="","Not yet scored",IF(F73&gt;=G73,"Pass","Fail")))</f>
        <v>Not yet scored</v>
      </c>
      <c r="I73" s="85" t="str">
        <f aca="false">IF(A73="","",INDEX(Candidates!$B$1:$B$500,K73))</f>
        <v>FAIL</v>
      </c>
      <c r="K73" s="86" t="n">
        <f aca="false">INT((ROW()-2)/7)+2</f>
        <v>12</v>
      </c>
      <c r="L73" s="86" t="n">
        <f aca="false">MOD(ROW()-2,7)+1</f>
        <v>2</v>
      </c>
    </row>
    <row r="74" customFormat="false" ht="15" hidden="false" customHeight="false" outlineLevel="0" collapsed="false">
      <c r="A74" s="85" t="str">
        <f aca="false">IF(INDEX(Candidates!$A$1:$A$500,K74)="","",INDEX(Candidates!$A$1:$A$500,K74))</f>
        <v>Ratasha Nomanov</v>
      </c>
      <c r="B74" s="85" t="str">
        <f aca="false">IF(A74="","",INDEX(Candidates!$C$1:$C$500,K74))</f>
        <v>Commercial Lead</v>
      </c>
      <c r="C74" s="85" t="str">
        <f aca="false">IF(A74="","",INDEX(Candidates!$D$1:$D$500,K74))</f>
        <v>Commercial Team</v>
      </c>
      <c r="D74" s="85" t="n">
        <f aca="false">IF(A74="","",L74)</f>
        <v>3</v>
      </c>
      <c r="E74" s="85" t="str">
        <f aca="false">IF(A74="","",INDEX($O$2:$O$8,L74))</f>
        <v>Initial Meeting</v>
      </c>
      <c r="F74" s="85" t="str">
        <f aca="false">IF(A74="","",IF(ISNUMBER(INDEX(Candidates!$A$1:$Z$500,K74,INDEX($P$2:$P$8,L74))),INDEX(Candidates!$A$1:$Z$500,K74,INDEX($P$2:$P$8,L74)),""))</f>
        <v/>
      </c>
      <c r="G74" s="85" t="n">
        <f aca="false">IF(A74="","",INDEX($Q$2:$Q$8,L74))</f>
        <v>6</v>
      </c>
      <c r="H74" s="85" t="str">
        <f aca="false">IF(A74="","",IF(F74="","Not yet scored",IF(F74&gt;=G74,"Pass","Fail")))</f>
        <v>Not yet scored</v>
      </c>
      <c r="I74" s="85" t="str">
        <f aca="false">IF(A74="","",INDEX(Candidates!$B$1:$B$500,K74))</f>
        <v>FAIL</v>
      </c>
      <c r="K74" s="86" t="n">
        <f aca="false">INT((ROW()-2)/7)+2</f>
        <v>12</v>
      </c>
      <c r="L74" s="86" t="n">
        <f aca="false">MOD(ROW()-2,7)+1</f>
        <v>3</v>
      </c>
    </row>
    <row r="75" customFormat="false" ht="15" hidden="false" customHeight="false" outlineLevel="0" collapsed="false">
      <c r="A75" s="85" t="str">
        <f aca="false">IF(INDEX(Candidates!$A$1:$A$500,K75)="","",INDEX(Candidates!$A$1:$A$500,K75))</f>
        <v>Ratasha Nomanov</v>
      </c>
      <c r="B75" s="85" t="str">
        <f aca="false">IF(A75="","",INDEX(Candidates!$C$1:$C$500,K75))</f>
        <v>Commercial Lead</v>
      </c>
      <c r="C75" s="85" t="str">
        <f aca="false">IF(A75="","",INDEX(Candidates!$D$1:$D$500,K75))</f>
        <v>Commercial Team</v>
      </c>
      <c r="D75" s="85" t="n">
        <f aca="false">IF(A75="","",L75)</f>
        <v>4</v>
      </c>
      <c r="E75" s="85" t="str">
        <f aca="false">IF(A75="","",INDEX($O$2:$O$8,L75))</f>
        <v>Portfolio</v>
      </c>
      <c r="F75" s="85" t="str">
        <f aca="false">IF(A75="","",IF(ISNUMBER(INDEX(Candidates!$A$1:$Z$500,K75,INDEX($P$2:$P$8,L75))),INDEX(Candidates!$A$1:$Z$500,K75,INDEX($P$2:$P$8,L75)),""))</f>
        <v/>
      </c>
      <c r="G75" s="85" t="n">
        <f aca="false">IF(A75="","",INDEX($Q$2:$Q$8,L75))</f>
        <v>7</v>
      </c>
      <c r="H75" s="85" t="str">
        <f aca="false">IF(A75="","",IF(F75="","Not yet scored",IF(F75&gt;=G75,"Pass","Fail")))</f>
        <v>Not yet scored</v>
      </c>
      <c r="I75" s="85" t="str">
        <f aca="false">IF(A75="","",INDEX(Candidates!$B$1:$B$500,K75))</f>
        <v>FAIL</v>
      </c>
      <c r="K75" s="86" t="n">
        <f aca="false">INT((ROW()-2)/7)+2</f>
        <v>12</v>
      </c>
      <c r="L75" s="86" t="n">
        <f aca="false">MOD(ROW()-2,7)+1</f>
        <v>4</v>
      </c>
    </row>
    <row r="76" customFormat="false" ht="15" hidden="false" customHeight="false" outlineLevel="0" collapsed="false">
      <c r="A76" s="85" t="str">
        <f aca="false">IF(INDEX(Candidates!$A$1:$A$500,K76)="","",INDEX(Candidates!$A$1:$A$500,K76))</f>
        <v>Ratasha Nomanov</v>
      </c>
      <c r="B76" s="85" t="str">
        <f aca="false">IF(A76="","",INDEX(Candidates!$C$1:$C$500,K76))</f>
        <v>Commercial Lead</v>
      </c>
      <c r="C76" s="85" t="str">
        <f aca="false">IF(A76="","",INDEX(Candidates!$D$1:$D$500,K76))</f>
        <v>Commercial Team</v>
      </c>
      <c r="D76" s="85" t="n">
        <f aca="false">IF(A76="","",L76)</f>
        <v>5</v>
      </c>
      <c r="E76" s="85" t="str">
        <f aca="false">IF(A76="","",INDEX($O$2:$O$8,L76))</f>
        <v>Personality Assessment</v>
      </c>
      <c r="F76" s="85" t="str">
        <f aca="false">IF(A76="","",IF(ISNUMBER(INDEX(Candidates!$A$1:$Z$500,K76,INDEX($P$2:$P$8,L76))),INDEX(Candidates!$A$1:$Z$500,K76,INDEX($P$2:$P$8,L76)),""))</f>
        <v/>
      </c>
      <c r="G76" s="85" t="n">
        <f aca="false">IF(A76="","",INDEX($Q$2:$Q$8,L76))</f>
        <v>6</v>
      </c>
      <c r="H76" s="85" t="str">
        <f aca="false">IF(A76="","",IF(F76="","Not yet scored",IF(F76&gt;=G76,"Pass","Fail")))</f>
        <v>Not yet scored</v>
      </c>
      <c r="I76" s="85" t="str">
        <f aca="false">IF(A76="","",INDEX(Candidates!$B$1:$B$500,K76))</f>
        <v>FAIL</v>
      </c>
      <c r="K76" s="86" t="n">
        <f aca="false">INT((ROW()-2)/7)+2</f>
        <v>12</v>
      </c>
      <c r="L76" s="86" t="n">
        <f aca="false">MOD(ROW()-2,7)+1</f>
        <v>5</v>
      </c>
    </row>
    <row r="77" customFormat="false" ht="15" hidden="false" customHeight="false" outlineLevel="0" collapsed="false">
      <c r="A77" s="85" t="str">
        <f aca="false">IF(INDEX(Candidates!$A$1:$A$500,K77)="","",INDEX(Candidates!$A$1:$A$500,K77))</f>
        <v>Ratasha Nomanov</v>
      </c>
      <c r="B77" s="85" t="str">
        <f aca="false">IF(A77="","",INDEX(Candidates!$C$1:$C$500,K77))</f>
        <v>Commercial Lead</v>
      </c>
      <c r="C77" s="85" t="str">
        <f aca="false">IF(A77="","",INDEX(Candidates!$D$1:$D$500,K77))</f>
        <v>Commercial Team</v>
      </c>
      <c r="D77" s="85" t="n">
        <f aca="false">IF(A77="","",L77)</f>
        <v>6</v>
      </c>
      <c r="E77" s="85" t="str">
        <f aca="false">IF(A77="","",INDEX($O$2:$O$8,L77))</f>
        <v>Technical Interview</v>
      </c>
      <c r="F77" s="85" t="str">
        <f aca="false">IF(A77="","",IF(ISNUMBER(INDEX(Candidates!$A$1:$Z$500,K77,INDEX($P$2:$P$8,L77))),INDEX(Candidates!$A$1:$Z$500,K77,INDEX($P$2:$P$8,L77)),""))</f>
        <v/>
      </c>
      <c r="G77" s="85" t="n">
        <f aca="false">IF(A77="","",INDEX($Q$2:$Q$8,L77))</f>
        <v>8</v>
      </c>
      <c r="H77" s="85" t="str">
        <f aca="false">IF(A77="","",IF(F77="","Not yet scored",IF(F77&gt;=G77,"Pass","Fail")))</f>
        <v>Not yet scored</v>
      </c>
      <c r="I77" s="85" t="str">
        <f aca="false">IF(A77="","",INDEX(Candidates!$B$1:$B$500,K77))</f>
        <v>FAIL</v>
      </c>
      <c r="K77" s="86" t="n">
        <f aca="false">INT((ROW()-2)/7)+2</f>
        <v>12</v>
      </c>
      <c r="L77" s="86" t="n">
        <f aca="false">MOD(ROW()-2,7)+1</f>
        <v>6</v>
      </c>
    </row>
    <row r="78" customFormat="false" ht="15" hidden="false" customHeight="false" outlineLevel="0" collapsed="false">
      <c r="A78" s="85" t="str">
        <f aca="false">IF(INDEX(Candidates!$A$1:$A$500,K78)="","",INDEX(Candidates!$A$1:$A$500,K78))</f>
        <v>Ratasha Nomanov</v>
      </c>
      <c r="B78" s="85" t="str">
        <f aca="false">IF(A78="","",INDEX(Candidates!$C$1:$C$500,K78))</f>
        <v>Commercial Lead</v>
      </c>
      <c r="C78" s="85" t="str">
        <f aca="false">IF(A78="","",INDEX(Candidates!$D$1:$D$500,K78))</f>
        <v>Commercial Team</v>
      </c>
      <c r="D78" s="85" t="n">
        <f aca="false">IF(A78="","",L78)</f>
        <v>7</v>
      </c>
      <c r="E78" s="85" t="str">
        <f aca="false">IF(A78="","",INDEX($O$2:$O$8,L78))</f>
        <v>Final Interview</v>
      </c>
      <c r="F78" s="85" t="str">
        <f aca="false">IF(A78="","",IF(ISNUMBER(INDEX(Candidates!$A$1:$Z$500,K78,INDEX($P$2:$P$8,L78))),INDEX(Candidates!$A$1:$Z$500,K78,INDEX($P$2:$P$8,L78)),""))</f>
        <v/>
      </c>
      <c r="G78" s="85" t="n">
        <f aca="false">IF(A78="","",INDEX($Q$2:$Q$8,L78))</f>
        <v>8</v>
      </c>
      <c r="H78" s="85" t="str">
        <f aca="false">IF(A78="","",IF(F78="","Not yet scored",IF(F78&gt;=G78,"Pass","Fail")))</f>
        <v>Not yet scored</v>
      </c>
      <c r="I78" s="85" t="str">
        <f aca="false">IF(A78="","",INDEX(Candidates!$B$1:$B$500,K78))</f>
        <v>FAIL</v>
      </c>
      <c r="K78" s="86" t="n">
        <f aca="false">INT((ROW()-2)/7)+2</f>
        <v>12</v>
      </c>
      <c r="L78" s="86" t="n">
        <f aca="false">MOD(ROW()-2,7)+1</f>
        <v>7</v>
      </c>
    </row>
    <row r="79" customFormat="false" ht="15" hidden="false" customHeight="false" outlineLevel="0" collapsed="false">
      <c r="A79" s="85" t="str">
        <f aca="false">IF(INDEX(Candidates!$A$1:$A$500,K79)="","",INDEX(Candidates!$A$1:$A$500,K79))</f>
        <v>Arry Ballen</v>
      </c>
      <c r="B79" s="85" t="str">
        <f aca="false">IF(A79="","",INDEX(Candidates!$C$1:$C$500,K79))</f>
        <v>UX Designer</v>
      </c>
      <c r="C79" s="85" t="str">
        <f aca="false">IF(A79="","",INDEX(Candidates!$D$1:$D$500,K79))</f>
        <v>Graphic Designer</v>
      </c>
      <c r="D79" s="85" t="n">
        <f aca="false">IF(A79="","",L79)</f>
        <v>1</v>
      </c>
      <c r="E79" s="85" t="str">
        <f aca="false">IF(A79="","",INDEX($O$2:$O$8,L79))</f>
        <v>Resume Review</v>
      </c>
      <c r="F79" s="85" t="n">
        <f aca="false">IF(A79="","",IF(ISNUMBER(INDEX(Candidates!$A$1:$Z$500,K79,INDEX($P$2:$P$8,L79))),INDEX(Candidates!$A$1:$Z$500,K79,INDEX($P$2:$P$8,L79)),""))</f>
        <v>1</v>
      </c>
      <c r="G79" s="85" t="n">
        <f aca="false">IF(A79="","",INDEX($Q$2:$Q$8,L79))</f>
        <v>5</v>
      </c>
      <c r="H79" s="85" t="str">
        <f aca="false">IF(A79="","",IF(F79="","Not yet scored",IF(F79&gt;=G79,"Pass","Fail")))</f>
        <v>Fail</v>
      </c>
      <c r="I79" s="85" t="str">
        <f aca="false">IF(A79="","",INDEX(Candidates!$B$1:$B$500,K79))</f>
        <v>FAIL</v>
      </c>
      <c r="K79" s="86" t="n">
        <f aca="false">INT((ROW()-2)/7)+2</f>
        <v>13</v>
      </c>
      <c r="L79" s="86" t="n">
        <f aca="false">MOD(ROW()-2,7)+1</f>
        <v>1</v>
      </c>
    </row>
    <row r="80" customFormat="false" ht="15" hidden="false" customHeight="false" outlineLevel="0" collapsed="false">
      <c r="A80" s="85" t="str">
        <f aca="false">IF(INDEX(Candidates!$A$1:$A$500,K80)="","",INDEX(Candidates!$A$1:$A$500,K80))</f>
        <v>Arry Ballen</v>
      </c>
      <c r="B80" s="85" t="str">
        <f aca="false">IF(A80="","",INDEX(Candidates!$C$1:$C$500,K80))</f>
        <v>UX Designer</v>
      </c>
      <c r="C80" s="85" t="str">
        <f aca="false">IF(A80="","",INDEX(Candidates!$D$1:$D$500,K80))</f>
        <v>Graphic Designer</v>
      </c>
      <c r="D80" s="85" t="n">
        <f aca="false">IF(A80="","",L80)</f>
        <v>2</v>
      </c>
      <c r="E80" s="85" t="str">
        <f aca="false">IF(A80="","",INDEX($O$2:$O$8,L80))</f>
        <v>Tech Assessment</v>
      </c>
      <c r="F80" s="85" t="str">
        <f aca="false">IF(A80="","",IF(ISNUMBER(INDEX(Candidates!$A$1:$Z$500,K80,INDEX($P$2:$P$8,L80))),INDEX(Candidates!$A$1:$Z$500,K80,INDEX($P$2:$P$8,L80)),""))</f>
        <v/>
      </c>
      <c r="G80" s="85" t="n">
        <f aca="false">IF(A80="","",INDEX($Q$2:$Q$8,L80))</f>
        <v>7</v>
      </c>
      <c r="H80" s="85" t="str">
        <f aca="false">IF(A80="","",IF(F80="","Not yet scored",IF(F80&gt;=G80,"Pass","Fail")))</f>
        <v>Not yet scored</v>
      </c>
      <c r="I80" s="85" t="str">
        <f aca="false">IF(A80="","",INDEX(Candidates!$B$1:$B$500,K80))</f>
        <v>FAIL</v>
      </c>
      <c r="K80" s="86" t="n">
        <f aca="false">INT((ROW()-2)/7)+2</f>
        <v>13</v>
      </c>
      <c r="L80" s="86" t="n">
        <f aca="false">MOD(ROW()-2,7)+1</f>
        <v>2</v>
      </c>
    </row>
    <row r="81" customFormat="false" ht="15" hidden="false" customHeight="false" outlineLevel="0" collapsed="false">
      <c r="A81" s="85" t="str">
        <f aca="false">IF(INDEX(Candidates!$A$1:$A$500,K81)="","",INDEX(Candidates!$A$1:$A$500,K81))</f>
        <v>Arry Ballen</v>
      </c>
      <c r="B81" s="85" t="str">
        <f aca="false">IF(A81="","",INDEX(Candidates!$C$1:$C$500,K81))</f>
        <v>UX Designer</v>
      </c>
      <c r="C81" s="85" t="str">
        <f aca="false">IF(A81="","",INDEX(Candidates!$D$1:$D$500,K81))</f>
        <v>Graphic Designer</v>
      </c>
      <c r="D81" s="85" t="n">
        <f aca="false">IF(A81="","",L81)</f>
        <v>3</v>
      </c>
      <c r="E81" s="85" t="str">
        <f aca="false">IF(A81="","",INDEX($O$2:$O$8,L81))</f>
        <v>Initial Meeting</v>
      </c>
      <c r="F81" s="85" t="str">
        <f aca="false">IF(A81="","",IF(ISNUMBER(INDEX(Candidates!$A$1:$Z$500,K81,INDEX($P$2:$P$8,L81))),INDEX(Candidates!$A$1:$Z$500,K81,INDEX($P$2:$P$8,L81)),""))</f>
        <v/>
      </c>
      <c r="G81" s="85" t="n">
        <f aca="false">IF(A81="","",INDEX($Q$2:$Q$8,L81))</f>
        <v>6</v>
      </c>
      <c r="H81" s="85" t="str">
        <f aca="false">IF(A81="","",IF(F81="","Not yet scored",IF(F81&gt;=G81,"Pass","Fail")))</f>
        <v>Not yet scored</v>
      </c>
      <c r="I81" s="85" t="str">
        <f aca="false">IF(A81="","",INDEX(Candidates!$B$1:$B$500,K81))</f>
        <v>FAIL</v>
      </c>
      <c r="K81" s="86" t="n">
        <f aca="false">INT((ROW()-2)/7)+2</f>
        <v>13</v>
      </c>
      <c r="L81" s="86" t="n">
        <f aca="false">MOD(ROW()-2,7)+1</f>
        <v>3</v>
      </c>
    </row>
    <row r="82" customFormat="false" ht="15" hidden="false" customHeight="false" outlineLevel="0" collapsed="false">
      <c r="A82" s="85" t="str">
        <f aca="false">IF(INDEX(Candidates!$A$1:$A$500,K82)="","",INDEX(Candidates!$A$1:$A$500,K82))</f>
        <v>Arry Ballen</v>
      </c>
      <c r="B82" s="85" t="str">
        <f aca="false">IF(A82="","",INDEX(Candidates!$C$1:$C$500,K82))</f>
        <v>UX Designer</v>
      </c>
      <c r="C82" s="85" t="str">
        <f aca="false">IF(A82="","",INDEX(Candidates!$D$1:$D$500,K82))</f>
        <v>Graphic Designer</v>
      </c>
      <c r="D82" s="85" t="n">
        <f aca="false">IF(A82="","",L82)</f>
        <v>4</v>
      </c>
      <c r="E82" s="85" t="str">
        <f aca="false">IF(A82="","",INDEX($O$2:$O$8,L82))</f>
        <v>Portfolio</v>
      </c>
      <c r="F82" s="85" t="str">
        <f aca="false">IF(A82="","",IF(ISNUMBER(INDEX(Candidates!$A$1:$Z$500,K82,INDEX($P$2:$P$8,L82))),INDEX(Candidates!$A$1:$Z$500,K82,INDEX($P$2:$P$8,L82)),""))</f>
        <v/>
      </c>
      <c r="G82" s="85" t="n">
        <f aca="false">IF(A82="","",INDEX($Q$2:$Q$8,L82))</f>
        <v>7</v>
      </c>
      <c r="H82" s="85" t="str">
        <f aca="false">IF(A82="","",IF(F82="","Not yet scored",IF(F82&gt;=G82,"Pass","Fail")))</f>
        <v>Not yet scored</v>
      </c>
      <c r="I82" s="85" t="str">
        <f aca="false">IF(A82="","",INDEX(Candidates!$B$1:$B$500,K82))</f>
        <v>FAIL</v>
      </c>
      <c r="K82" s="86" t="n">
        <f aca="false">INT((ROW()-2)/7)+2</f>
        <v>13</v>
      </c>
      <c r="L82" s="86" t="n">
        <f aca="false">MOD(ROW()-2,7)+1</f>
        <v>4</v>
      </c>
    </row>
    <row r="83" customFormat="false" ht="15" hidden="false" customHeight="false" outlineLevel="0" collapsed="false">
      <c r="A83" s="85" t="str">
        <f aca="false">IF(INDEX(Candidates!$A$1:$A$500,K83)="","",INDEX(Candidates!$A$1:$A$500,K83))</f>
        <v>Arry Ballen</v>
      </c>
      <c r="B83" s="85" t="str">
        <f aca="false">IF(A83="","",INDEX(Candidates!$C$1:$C$500,K83))</f>
        <v>UX Designer</v>
      </c>
      <c r="C83" s="85" t="str">
        <f aca="false">IF(A83="","",INDEX(Candidates!$D$1:$D$500,K83))</f>
        <v>Graphic Designer</v>
      </c>
      <c r="D83" s="85" t="n">
        <f aca="false">IF(A83="","",L83)</f>
        <v>5</v>
      </c>
      <c r="E83" s="85" t="str">
        <f aca="false">IF(A83="","",INDEX($O$2:$O$8,L83))</f>
        <v>Personality Assessment</v>
      </c>
      <c r="F83" s="85" t="str">
        <f aca="false">IF(A83="","",IF(ISNUMBER(INDEX(Candidates!$A$1:$Z$500,K83,INDEX($P$2:$P$8,L83))),INDEX(Candidates!$A$1:$Z$500,K83,INDEX($P$2:$P$8,L83)),""))</f>
        <v/>
      </c>
      <c r="G83" s="85" t="n">
        <f aca="false">IF(A83="","",INDEX($Q$2:$Q$8,L83))</f>
        <v>6</v>
      </c>
      <c r="H83" s="85" t="str">
        <f aca="false">IF(A83="","",IF(F83="","Not yet scored",IF(F83&gt;=G83,"Pass","Fail")))</f>
        <v>Not yet scored</v>
      </c>
      <c r="I83" s="85" t="str">
        <f aca="false">IF(A83="","",INDEX(Candidates!$B$1:$B$500,K83))</f>
        <v>FAIL</v>
      </c>
      <c r="K83" s="86" t="n">
        <f aca="false">INT((ROW()-2)/7)+2</f>
        <v>13</v>
      </c>
      <c r="L83" s="86" t="n">
        <f aca="false">MOD(ROW()-2,7)+1</f>
        <v>5</v>
      </c>
    </row>
    <row r="84" customFormat="false" ht="15" hidden="false" customHeight="false" outlineLevel="0" collapsed="false">
      <c r="A84" s="85" t="str">
        <f aca="false">IF(INDEX(Candidates!$A$1:$A$500,K84)="","",INDEX(Candidates!$A$1:$A$500,K84))</f>
        <v>Arry Ballen</v>
      </c>
      <c r="B84" s="85" t="str">
        <f aca="false">IF(A84="","",INDEX(Candidates!$C$1:$C$500,K84))</f>
        <v>UX Designer</v>
      </c>
      <c r="C84" s="85" t="str">
        <f aca="false">IF(A84="","",INDEX(Candidates!$D$1:$D$500,K84))</f>
        <v>Graphic Designer</v>
      </c>
      <c r="D84" s="85" t="n">
        <f aca="false">IF(A84="","",L84)</f>
        <v>6</v>
      </c>
      <c r="E84" s="85" t="str">
        <f aca="false">IF(A84="","",INDEX($O$2:$O$8,L84))</f>
        <v>Technical Interview</v>
      </c>
      <c r="F84" s="85" t="str">
        <f aca="false">IF(A84="","",IF(ISNUMBER(INDEX(Candidates!$A$1:$Z$500,K84,INDEX($P$2:$P$8,L84))),INDEX(Candidates!$A$1:$Z$500,K84,INDEX($P$2:$P$8,L84)),""))</f>
        <v/>
      </c>
      <c r="G84" s="85" t="n">
        <f aca="false">IF(A84="","",INDEX($Q$2:$Q$8,L84))</f>
        <v>8</v>
      </c>
      <c r="H84" s="85" t="str">
        <f aca="false">IF(A84="","",IF(F84="","Not yet scored",IF(F84&gt;=G84,"Pass","Fail")))</f>
        <v>Not yet scored</v>
      </c>
      <c r="I84" s="85" t="str">
        <f aca="false">IF(A84="","",INDEX(Candidates!$B$1:$B$500,K84))</f>
        <v>FAIL</v>
      </c>
      <c r="K84" s="86" t="n">
        <f aca="false">INT((ROW()-2)/7)+2</f>
        <v>13</v>
      </c>
      <c r="L84" s="86" t="n">
        <f aca="false">MOD(ROW()-2,7)+1</f>
        <v>6</v>
      </c>
    </row>
    <row r="85" customFormat="false" ht="15" hidden="false" customHeight="false" outlineLevel="0" collapsed="false">
      <c r="A85" s="85" t="str">
        <f aca="false">IF(INDEX(Candidates!$A$1:$A$500,K85)="","",INDEX(Candidates!$A$1:$A$500,K85))</f>
        <v>Arry Ballen</v>
      </c>
      <c r="B85" s="85" t="str">
        <f aca="false">IF(A85="","",INDEX(Candidates!$C$1:$C$500,K85))</f>
        <v>UX Designer</v>
      </c>
      <c r="C85" s="85" t="str">
        <f aca="false">IF(A85="","",INDEX(Candidates!$D$1:$D$500,K85))</f>
        <v>Graphic Designer</v>
      </c>
      <c r="D85" s="85" t="n">
        <f aca="false">IF(A85="","",L85)</f>
        <v>7</v>
      </c>
      <c r="E85" s="85" t="str">
        <f aca="false">IF(A85="","",INDEX($O$2:$O$8,L85))</f>
        <v>Final Interview</v>
      </c>
      <c r="F85" s="85" t="str">
        <f aca="false">IF(A85="","",IF(ISNUMBER(INDEX(Candidates!$A$1:$Z$500,K85,INDEX($P$2:$P$8,L85))),INDEX(Candidates!$A$1:$Z$500,K85,INDEX($P$2:$P$8,L85)),""))</f>
        <v/>
      </c>
      <c r="G85" s="85" t="n">
        <f aca="false">IF(A85="","",INDEX($Q$2:$Q$8,L85))</f>
        <v>8</v>
      </c>
      <c r="H85" s="85" t="str">
        <f aca="false">IF(A85="","",IF(F85="","Not yet scored",IF(F85&gt;=G85,"Pass","Fail")))</f>
        <v>Not yet scored</v>
      </c>
      <c r="I85" s="85" t="str">
        <f aca="false">IF(A85="","",INDEX(Candidates!$B$1:$B$500,K85))</f>
        <v>FAIL</v>
      </c>
      <c r="K85" s="86" t="n">
        <f aca="false">INT((ROW()-2)/7)+2</f>
        <v>13</v>
      </c>
      <c r="L85" s="86" t="n">
        <f aca="false">MOD(ROW()-2,7)+1</f>
        <v>7</v>
      </c>
    </row>
    <row r="86" customFormat="false" ht="15" hidden="false" customHeight="false" outlineLevel="0" collapsed="false">
      <c r="A86" s="85" t="str">
        <f aca="false">IF(INDEX(Candidates!$A$1:$A$500,K86)="","",INDEX(Candidates!$A$1:$A$500,K86))</f>
        <v>Billie Jean</v>
      </c>
      <c r="B86" s="85" t="str">
        <f aca="false">IF(A86="","",INDEX(Candidates!$C$1:$C$500,K86))</f>
        <v>UI Designer</v>
      </c>
      <c r="C86" s="85" t="str">
        <f aca="false">IF(A86="","",INDEX(Candidates!$D$1:$D$500,K86))</f>
        <v>Graphic Designer</v>
      </c>
      <c r="D86" s="85" t="n">
        <f aca="false">IF(A86="","",L86)</f>
        <v>1</v>
      </c>
      <c r="E86" s="85" t="str">
        <f aca="false">IF(A86="","",INDEX($O$2:$O$8,L86))</f>
        <v>Resume Review</v>
      </c>
      <c r="F86" s="85" t="n">
        <f aca="false">IF(A86="","",IF(ISNUMBER(INDEX(Candidates!$A$1:$Z$500,K86,INDEX($P$2:$P$8,L86))),INDEX(Candidates!$A$1:$Z$500,K86,INDEX($P$2:$P$8,L86)),""))</f>
        <v>2</v>
      </c>
      <c r="G86" s="85" t="n">
        <f aca="false">IF(A86="","",INDEX($Q$2:$Q$8,L86))</f>
        <v>5</v>
      </c>
      <c r="H86" s="85" t="str">
        <f aca="false">IF(A86="","",IF(F86="","Not yet scored",IF(F86&gt;=G86,"Pass","Fail")))</f>
        <v>Fail</v>
      </c>
      <c r="I86" s="85" t="str">
        <f aca="false">IF(A86="","",INDEX(Candidates!$B$1:$B$500,K86))</f>
        <v>FAIL</v>
      </c>
      <c r="K86" s="86" t="n">
        <f aca="false">INT((ROW()-2)/7)+2</f>
        <v>14</v>
      </c>
      <c r="L86" s="86" t="n">
        <f aca="false">MOD(ROW()-2,7)+1</f>
        <v>1</v>
      </c>
    </row>
    <row r="87" customFormat="false" ht="15" hidden="false" customHeight="false" outlineLevel="0" collapsed="false">
      <c r="A87" s="85" t="str">
        <f aca="false">IF(INDEX(Candidates!$A$1:$A$500,K87)="","",INDEX(Candidates!$A$1:$A$500,K87))</f>
        <v>Billie Jean</v>
      </c>
      <c r="B87" s="85" t="str">
        <f aca="false">IF(A87="","",INDEX(Candidates!$C$1:$C$500,K87))</f>
        <v>UI Designer</v>
      </c>
      <c r="C87" s="85" t="str">
        <f aca="false">IF(A87="","",INDEX(Candidates!$D$1:$D$500,K87))</f>
        <v>Graphic Designer</v>
      </c>
      <c r="D87" s="85" t="n">
        <f aca="false">IF(A87="","",L87)</f>
        <v>2</v>
      </c>
      <c r="E87" s="85" t="str">
        <f aca="false">IF(A87="","",INDEX($O$2:$O$8,L87))</f>
        <v>Tech Assessment</v>
      </c>
      <c r="F87" s="85" t="str">
        <f aca="false">IF(A87="","",IF(ISNUMBER(INDEX(Candidates!$A$1:$Z$500,K87,INDEX($P$2:$P$8,L87))),INDEX(Candidates!$A$1:$Z$500,K87,INDEX($P$2:$P$8,L87)),""))</f>
        <v/>
      </c>
      <c r="G87" s="85" t="n">
        <f aca="false">IF(A87="","",INDEX($Q$2:$Q$8,L87))</f>
        <v>7</v>
      </c>
      <c r="H87" s="85" t="str">
        <f aca="false">IF(A87="","",IF(F87="","Not yet scored",IF(F87&gt;=G87,"Pass","Fail")))</f>
        <v>Not yet scored</v>
      </c>
      <c r="I87" s="85" t="str">
        <f aca="false">IF(A87="","",INDEX(Candidates!$B$1:$B$500,K87))</f>
        <v>FAIL</v>
      </c>
      <c r="K87" s="86" t="n">
        <f aca="false">INT((ROW()-2)/7)+2</f>
        <v>14</v>
      </c>
      <c r="L87" s="86" t="n">
        <f aca="false">MOD(ROW()-2,7)+1</f>
        <v>2</v>
      </c>
    </row>
    <row r="88" customFormat="false" ht="15" hidden="false" customHeight="false" outlineLevel="0" collapsed="false">
      <c r="A88" s="85" t="str">
        <f aca="false">IF(INDEX(Candidates!$A$1:$A$500,K88)="","",INDEX(Candidates!$A$1:$A$500,K88))</f>
        <v>Billie Jean</v>
      </c>
      <c r="B88" s="85" t="str">
        <f aca="false">IF(A88="","",INDEX(Candidates!$C$1:$C$500,K88))</f>
        <v>UI Designer</v>
      </c>
      <c r="C88" s="85" t="str">
        <f aca="false">IF(A88="","",INDEX(Candidates!$D$1:$D$500,K88))</f>
        <v>Graphic Designer</v>
      </c>
      <c r="D88" s="85" t="n">
        <f aca="false">IF(A88="","",L88)</f>
        <v>3</v>
      </c>
      <c r="E88" s="85" t="str">
        <f aca="false">IF(A88="","",INDEX($O$2:$O$8,L88))</f>
        <v>Initial Meeting</v>
      </c>
      <c r="F88" s="85" t="str">
        <f aca="false">IF(A88="","",IF(ISNUMBER(INDEX(Candidates!$A$1:$Z$500,K88,INDEX($P$2:$P$8,L88))),INDEX(Candidates!$A$1:$Z$500,K88,INDEX($P$2:$P$8,L88)),""))</f>
        <v/>
      </c>
      <c r="G88" s="85" t="n">
        <f aca="false">IF(A88="","",INDEX($Q$2:$Q$8,L88))</f>
        <v>6</v>
      </c>
      <c r="H88" s="85" t="str">
        <f aca="false">IF(A88="","",IF(F88="","Not yet scored",IF(F88&gt;=G88,"Pass","Fail")))</f>
        <v>Not yet scored</v>
      </c>
      <c r="I88" s="85" t="str">
        <f aca="false">IF(A88="","",INDEX(Candidates!$B$1:$B$500,K88))</f>
        <v>FAIL</v>
      </c>
      <c r="K88" s="86" t="n">
        <f aca="false">INT((ROW()-2)/7)+2</f>
        <v>14</v>
      </c>
      <c r="L88" s="86" t="n">
        <f aca="false">MOD(ROW()-2,7)+1</f>
        <v>3</v>
      </c>
    </row>
    <row r="89" customFormat="false" ht="15" hidden="false" customHeight="false" outlineLevel="0" collapsed="false">
      <c r="A89" s="85" t="str">
        <f aca="false">IF(INDEX(Candidates!$A$1:$A$500,K89)="","",INDEX(Candidates!$A$1:$A$500,K89))</f>
        <v>Billie Jean</v>
      </c>
      <c r="B89" s="85" t="str">
        <f aca="false">IF(A89="","",INDEX(Candidates!$C$1:$C$500,K89))</f>
        <v>UI Designer</v>
      </c>
      <c r="C89" s="85" t="str">
        <f aca="false">IF(A89="","",INDEX(Candidates!$D$1:$D$500,K89))</f>
        <v>Graphic Designer</v>
      </c>
      <c r="D89" s="85" t="n">
        <f aca="false">IF(A89="","",L89)</f>
        <v>4</v>
      </c>
      <c r="E89" s="85" t="str">
        <f aca="false">IF(A89="","",INDEX($O$2:$O$8,L89))</f>
        <v>Portfolio</v>
      </c>
      <c r="F89" s="85" t="str">
        <f aca="false">IF(A89="","",IF(ISNUMBER(INDEX(Candidates!$A$1:$Z$500,K89,INDEX($P$2:$P$8,L89))),INDEX(Candidates!$A$1:$Z$500,K89,INDEX($P$2:$P$8,L89)),""))</f>
        <v/>
      </c>
      <c r="G89" s="85" t="n">
        <f aca="false">IF(A89="","",INDEX($Q$2:$Q$8,L89))</f>
        <v>7</v>
      </c>
      <c r="H89" s="85" t="str">
        <f aca="false">IF(A89="","",IF(F89="","Not yet scored",IF(F89&gt;=G89,"Pass","Fail")))</f>
        <v>Not yet scored</v>
      </c>
      <c r="I89" s="85" t="str">
        <f aca="false">IF(A89="","",INDEX(Candidates!$B$1:$B$500,K89))</f>
        <v>FAIL</v>
      </c>
      <c r="K89" s="86" t="n">
        <f aca="false">INT((ROW()-2)/7)+2</f>
        <v>14</v>
      </c>
      <c r="L89" s="86" t="n">
        <f aca="false">MOD(ROW()-2,7)+1</f>
        <v>4</v>
      </c>
    </row>
    <row r="90" customFormat="false" ht="15" hidden="false" customHeight="false" outlineLevel="0" collapsed="false">
      <c r="A90" s="85" t="str">
        <f aca="false">IF(INDEX(Candidates!$A$1:$A$500,K90)="","",INDEX(Candidates!$A$1:$A$500,K90))</f>
        <v>Billie Jean</v>
      </c>
      <c r="B90" s="85" t="str">
        <f aca="false">IF(A90="","",INDEX(Candidates!$C$1:$C$500,K90))</f>
        <v>UI Designer</v>
      </c>
      <c r="C90" s="85" t="str">
        <f aca="false">IF(A90="","",INDEX(Candidates!$D$1:$D$500,K90))</f>
        <v>Graphic Designer</v>
      </c>
      <c r="D90" s="85" t="n">
        <f aca="false">IF(A90="","",L90)</f>
        <v>5</v>
      </c>
      <c r="E90" s="85" t="str">
        <f aca="false">IF(A90="","",INDEX($O$2:$O$8,L90))</f>
        <v>Personality Assessment</v>
      </c>
      <c r="F90" s="85" t="str">
        <f aca="false">IF(A90="","",IF(ISNUMBER(INDEX(Candidates!$A$1:$Z$500,K90,INDEX($P$2:$P$8,L90))),INDEX(Candidates!$A$1:$Z$500,K90,INDEX($P$2:$P$8,L90)),""))</f>
        <v/>
      </c>
      <c r="G90" s="85" t="n">
        <f aca="false">IF(A90="","",INDEX($Q$2:$Q$8,L90))</f>
        <v>6</v>
      </c>
      <c r="H90" s="85" t="str">
        <f aca="false">IF(A90="","",IF(F90="","Not yet scored",IF(F90&gt;=G90,"Pass","Fail")))</f>
        <v>Not yet scored</v>
      </c>
      <c r="I90" s="85" t="str">
        <f aca="false">IF(A90="","",INDEX(Candidates!$B$1:$B$500,K90))</f>
        <v>FAIL</v>
      </c>
      <c r="K90" s="86" t="n">
        <f aca="false">INT((ROW()-2)/7)+2</f>
        <v>14</v>
      </c>
      <c r="L90" s="86" t="n">
        <f aca="false">MOD(ROW()-2,7)+1</f>
        <v>5</v>
      </c>
    </row>
    <row r="91" customFormat="false" ht="15" hidden="false" customHeight="false" outlineLevel="0" collapsed="false">
      <c r="A91" s="85" t="str">
        <f aca="false">IF(INDEX(Candidates!$A$1:$A$500,K91)="","",INDEX(Candidates!$A$1:$A$500,K91))</f>
        <v>Billie Jean</v>
      </c>
      <c r="B91" s="85" t="str">
        <f aca="false">IF(A91="","",INDEX(Candidates!$C$1:$C$500,K91))</f>
        <v>UI Designer</v>
      </c>
      <c r="C91" s="85" t="str">
        <f aca="false">IF(A91="","",INDEX(Candidates!$D$1:$D$500,K91))</f>
        <v>Graphic Designer</v>
      </c>
      <c r="D91" s="85" t="n">
        <f aca="false">IF(A91="","",L91)</f>
        <v>6</v>
      </c>
      <c r="E91" s="85" t="str">
        <f aca="false">IF(A91="","",INDEX($O$2:$O$8,L91))</f>
        <v>Technical Interview</v>
      </c>
      <c r="F91" s="85" t="str">
        <f aca="false">IF(A91="","",IF(ISNUMBER(INDEX(Candidates!$A$1:$Z$500,K91,INDEX($P$2:$P$8,L91))),INDEX(Candidates!$A$1:$Z$500,K91,INDEX($P$2:$P$8,L91)),""))</f>
        <v/>
      </c>
      <c r="G91" s="85" t="n">
        <f aca="false">IF(A91="","",INDEX($Q$2:$Q$8,L91))</f>
        <v>8</v>
      </c>
      <c r="H91" s="85" t="str">
        <f aca="false">IF(A91="","",IF(F91="","Not yet scored",IF(F91&gt;=G91,"Pass","Fail")))</f>
        <v>Not yet scored</v>
      </c>
      <c r="I91" s="85" t="str">
        <f aca="false">IF(A91="","",INDEX(Candidates!$B$1:$B$500,K91))</f>
        <v>FAIL</v>
      </c>
      <c r="K91" s="86" t="n">
        <f aca="false">INT((ROW()-2)/7)+2</f>
        <v>14</v>
      </c>
      <c r="L91" s="86" t="n">
        <f aca="false">MOD(ROW()-2,7)+1</f>
        <v>6</v>
      </c>
    </row>
    <row r="92" customFormat="false" ht="15" hidden="false" customHeight="false" outlineLevel="0" collapsed="false">
      <c r="A92" s="85" t="str">
        <f aca="false">IF(INDEX(Candidates!$A$1:$A$500,K92)="","",INDEX(Candidates!$A$1:$A$500,K92))</f>
        <v>Billie Jean</v>
      </c>
      <c r="B92" s="85" t="str">
        <f aca="false">IF(A92="","",INDEX(Candidates!$C$1:$C$500,K92))</f>
        <v>UI Designer</v>
      </c>
      <c r="C92" s="85" t="str">
        <f aca="false">IF(A92="","",INDEX(Candidates!$D$1:$D$500,K92))</f>
        <v>Graphic Designer</v>
      </c>
      <c r="D92" s="85" t="n">
        <f aca="false">IF(A92="","",L92)</f>
        <v>7</v>
      </c>
      <c r="E92" s="85" t="str">
        <f aca="false">IF(A92="","",INDEX($O$2:$O$8,L92))</f>
        <v>Final Interview</v>
      </c>
      <c r="F92" s="85" t="str">
        <f aca="false">IF(A92="","",IF(ISNUMBER(INDEX(Candidates!$A$1:$Z$500,K92,INDEX($P$2:$P$8,L92))),INDEX(Candidates!$A$1:$Z$500,K92,INDEX($P$2:$P$8,L92)),""))</f>
        <v/>
      </c>
      <c r="G92" s="85" t="n">
        <f aca="false">IF(A92="","",INDEX($Q$2:$Q$8,L92))</f>
        <v>8</v>
      </c>
      <c r="H92" s="85" t="str">
        <f aca="false">IF(A92="","",IF(F92="","Not yet scored",IF(F92&gt;=G92,"Pass","Fail")))</f>
        <v>Not yet scored</v>
      </c>
      <c r="I92" s="85" t="str">
        <f aca="false">IF(A92="","",INDEX(Candidates!$B$1:$B$500,K92))</f>
        <v>FAIL</v>
      </c>
      <c r="K92" s="86" t="n">
        <f aca="false">INT((ROW()-2)/7)+2</f>
        <v>14</v>
      </c>
      <c r="L92" s="86" t="n">
        <f aca="false">MOD(ROW()-2,7)+1</f>
        <v>7</v>
      </c>
    </row>
    <row r="93" customFormat="false" ht="15" hidden="false" customHeight="false" outlineLevel="0" collapsed="false">
      <c r="A93" s="85" t="str">
        <f aca="false">IF(INDEX(Candidates!$A$1:$A$500,K93)="","",INDEX(Candidates!$A$1:$A$500,K93))</f>
        <v>Cotton Eye Joe</v>
      </c>
      <c r="B93" s="85" t="str">
        <f aca="false">IF(A93="","",INDEX(Candidates!$C$1:$C$500,K93))</f>
        <v>Front-End Developer</v>
      </c>
      <c r="C93" s="85" t="str">
        <f aca="false">IF(A93="","",INDEX(Candidates!$D$1:$D$500,K93))</f>
        <v>Software Developer</v>
      </c>
      <c r="D93" s="85" t="n">
        <f aca="false">IF(A93="","",L93)</f>
        <v>1</v>
      </c>
      <c r="E93" s="85" t="str">
        <f aca="false">IF(A93="","",INDEX($O$2:$O$8,L93))</f>
        <v>Resume Review</v>
      </c>
      <c r="F93" s="85" t="n">
        <f aca="false">IF(A93="","",IF(ISNUMBER(INDEX(Candidates!$A$1:$Z$500,K93,INDEX($P$2:$P$8,L93))),INDEX(Candidates!$A$1:$Z$500,K93,INDEX($P$2:$P$8,L93)),""))</f>
        <v>3</v>
      </c>
      <c r="G93" s="85" t="n">
        <f aca="false">IF(A93="","",INDEX($Q$2:$Q$8,L93))</f>
        <v>5</v>
      </c>
      <c r="H93" s="85" t="str">
        <f aca="false">IF(A93="","",IF(F93="","Not yet scored",IF(F93&gt;=G93,"Pass","Fail")))</f>
        <v>Fail</v>
      </c>
      <c r="I93" s="85" t="str">
        <f aca="false">IF(A93="","",INDEX(Candidates!$B$1:$B$500,K93))</f>
        <v>FAIL</v>
      </c>
      <c r="K93" s="86" t="n">
        <f aca="false">INT((ROW()-2)/7)+2</f>
        <v>15</v>
      </c>
      <c r="L93" s="86" t="n">
        <f aca="false">MOD(ROW()-2,7)+1</f>
        <v>1</v>
      </c>
    </row>
    <row r="94" customFormat="false" ht="15" hidden="false" customHeight="false" outlineLevel="0" collapsed="false">
      <c r="A94" s="85" t="str">
        <f aca="false">IF(INDEX(Candidates!$A$1:$A$500,K94)="","",INDEX(Candidates!$A$1:$A$500,K94))</f>
        <v>Cotton Eye Joe</v>
      </c>
      <c r="B94" s="85" t="str">
        <f aca="false">IF(A94="","",INDEX(Candidates!$C$1:$C$500,K94))</f>
        <v>Front-End Developer</v>
      </c>
      <c r="C94" s="85" t="str">
        <f aca="false">IF(A94="","",INDEX(Candidates!$D$1:$D$500,K94))</f>
        <v>Software Developer</v>
      </c>
      <c r="D94" s="85" t="n">
        <f aca="false">IF(A94="","",L94)</f>
        <v>2</v>
      </c>
      <c r="E94" s="85" t="str">
        <f aca="false">IF(A94="","",INDEX($O$2:$O$8,L94))</f>
        <v>Tech Assessment</v>
      </c>
      <c r="F94" s="85" t="str">
        <f aca="false">IF(A94="","",IF(ISNUMBER(INDEX(Candidates!$A$1:$Z$500,K94,INDEX($P$2:$P$8,L94))),INDEX(Candidates!$A$1:$Z$500,K94,INDEX($P$2:$P$8,L94)),""))</f>
        <v/>
      </c>
      <c r="G94" s="85" t="n">
        <f aca="false">IF(A94="","",INDEX($Q$2:$Q$8,L94))</f>
        <v>7</v>
      </c>
      <c r="H94" s="85" t="str">
        <f aca="false">IF(A94="","",IF(F94="","Not yet scored",IF(F94&gt;=G94,"Pass","Fail")))</f>
        <v>Not yet scored</v>
      </c>
      <c r="I94" s="85" t="str">
        <f aca="false">IF(A94="","",INDEX(Candidates!$B$1:$B$500,K94))</f>
        <v>FAIL</v>
      </c>
      <c r="K94" s="86" t="n">
        <f aca="false">INT((ROW()-2)/7)+2</f>
        <v>15</v>
      </c>
      <c r="L94" s="86" t="n">
        <f aca="false">MOD(ROW()-2,7)+1</f>
        <v>2</v>
      </c>
    </row>
    <row r="95" customFormat="false" ht="15" hidden="false" customHeight="false" outlineLevel="0" collapsed="false">
      <c r="A95" s="85" t="str">
        <f aca="false">IF(INDEX(Candidates!$A$1:$A$500,K95)="","",INDEX(Candidates!$A$1:$A$500,K95))</f>
        <v>Cotton Eye Joe</v>
      </c>
      <c r="B95" s="85" t="str">
        <f aca="false">IF(A95="","",INDEX(Candidates!$C$1:$C$500,K95))</f>
        <v>Front-End Developer</v>
      </c>
      <c r="C95" s="85" t="str">
        <f aca="false">IF(A95="","",INDEX(Candidates!$D$1:$D$500,K95))</f>
        <v>Software Developer</v>
      </c>
      <c r="D95" s="85" t="n">
        <f aca="false">IF(A95="","",L95)</f>
        <v>3</v>
      </c>
      <c r="E95" s="85" t="str">
        <f aca="false">IF(A95="","",INDEX($O$2:$O$8,L95))</f>
        <v>Initial Meeting</v>
      </c>
      <c r="F95" s="85" t="str">
        <f aca="false">IF(A95="","",IF(ISNUMBER(INDEX(Candidates!$A$1:$Z$500,K95,INDEX($P$2:$P$8,L95))),INDEX(Candidates!$A$1:$Z$500,K95,INDEX($P$2:$P$8,L95)),""))</f>
        <v/>
      </c>
      <c r="G95" s="85" t="n">
        <f aca="false">IF(A95="","",INDEX($Q$2:$Q$8,L95))</f>
        <v>6</v>
      </c>
      <c r="H95" s="85" t="str">
        <f aca="false">IF(A95="","",IF(F95="","Not yet scored",IF(F95&gt;=G95,"Pass","Fail")))</f>
        <v>Not yet scored</v>
      </c>
      <c r="I95" s="85" t="str">
        <f aca="false">IF(A95="","",INDEX(Candidates!$B$1:$B$500,K95))</f>
        <v>FAIL</v>
      </c>
      <c r="K95" s="86" t="n">
        <f aca="false">INT((ROW()-2)/7)+2</f>
        <v>15</v>
      </c>
      <c r="L95" s="86" t="n">
        <f aca="false">MOD(ROW()-2,7)+1</f>
        <v>3</v>
      </c>
    </row>
    <row r="96" customFormat="false" ht="15" hidden="false" customHeight="false" outlineLevel="0" collapsed="false">
      <c r="A96" s="85" t="str">
        <f aca="false">IF(INDEX(Candidates!$A$1:$A$500,K96)="","",INDEX(Candidates!$A$1:$A$500,K96))</f>
        <v>Cotton Eye Joe</v>
      </c>
      <c r="B96" s="85" t="str">
        <f aca="false">IF(A96="","",INDEX(Candidates!$C$1:$C$500,K96))</f>
        <v>Front-End Developer</v>
      </c>
      <c r="C96" s="85" t="str">
        <f aca="false">IF(A96="","",INDEX(Candidates!$D$1:$D$500,K96))</f>
        <v>Software Developer</v>
      </c>
      <c r="D96" s="85" t="n">
        <f aca="false">IF(A96="","",L96)</f>
        <v>4</v>
      </c>
      <c r="E96" s="85" t="str">
        <f aca="false">IF(A96="","",INDEX($O$2:$O$8,L96))</f>
        <v>Portfolio</v>
      </c>
      <c r="F96" s="85" t="str">
        <f aca="false">IF(A96="","",IF(ISNUMBER(INDEX(Candidates!$A$1:$Z$500,K96,INDEX($P$2:$P$8,L96))),INDEX(Candidates!$A$1:$Z$500,K96,INDEX($P$2:$P$8,L96)),""))</f>
        <v/>
      </c>
      <c r="G96" s="85" t="n">
        <f aca="false">IF(A96="","",INDEX($Q$2:$Q$8,L96))</f>
        <v>7</v>
      </c>
      <c r="H96" s="85" t="str">
        <f aca="false">IF(A96="","",IF(F96="","Not yet scored",IF(F96&gt;=G96,"Pass","Fail")))</f>
        <v>Not yet scored</v>
      </c>
      <c r="I96" s="85" t="str">
        <f aca="false">IF(A96="","",INDEX(Candidates!$B$1:$B$500,K96))</f>
        <v>FAIL</v>
      </c>
      <c r="K96" s="86" t="n">
        <f aca="false">INT((ROW()-2)/7)+2</f>
        <v>15</v>
      </c>
      <c r="L96" s="86" t="n">
        <f aca="false">MOD(ROW()-2,7)+1</f>
        <v>4</v>
      </c>
    </row>
    <row r="97" customFormat="false" ht="15" hidden="false" customHeight="false" outlineLevel="0" collapsed="false">
      <c r="A97" s="85" t="str">
        <f aca="false">IF(INDEX(Candidates!$A$1:$A$500,K97)="","",INDEX(Candidates!$A$1:$A$500,K97))</f>
        <v>Cotton Eye Joe</v>
      </c>
      <c r="B97" s="85" t="str">
        <f aca="false">IF(A97="","",INDEX(Candidates!$C$1:$C$500,K97))</f>
        <v>Front-End Developer</v>
      </c>
      <c r="C97" s="85" t="str">
        <f aca="false">IF(A97="","",INDEX(Candidates!$D$1:$D$500,K97))</f>
        <v>Software Developer</v>
      </c>
      <c r="D97" s="85" t="n">
        <f aca="false">IF(A97="","",L97)</f>
        <v>5</v>
      </c>
      <c r="E97" s="85" t="str">
        <f aca="false">IF(A97="","",INDEX($O$2:$O$8,L97))</f>
        <v>Personality Assessment</v>
      </c>
      <c r="F97" s="85" t="str">
        <f aca="false">IF(A97="","",IF(ISNUMBER(INDEX(Candidates!$A$1:$Z$500,K97,INDEX($P$2:$P$8,L97))),INDEX(Candidates!$A$1:$Z$500,K97,INDEX($P$2:$P$8,L97)),""))</f>
        <v/>
      </c>
      <c r="G97" s="85" t="n">
        <f aca="false">IF(A97="","",INDEX($Q$2:$Q$8,L97))</f>
        <v>6</v>
      </c>
      <c r="H97" s="85" t="str">
        <f aca="false">IF(A97="","",IF(F97="","Not yet scored",IF(F97&gt;=G97,"Pass","Fail")))</f>
        <v>Not yet scored</v>
      </c>
      <c r="I97" s="85" t="str">
        <f aca="false">IF(A97="","",INDEX(Candidates!$B$1:$B$500,K97))</f>
        <v>FAIL</v>
      </c>
      <c r="K97" s="86" t="n">
        <f aca="false">INT((ROW()-2)/7)+2</f>
        <v>15</v>
      </c>
      <c r="L97" s="86" t="n">
        <f aca="false">MOD(ROW()-2,7)+1</f>
        <v>5</v>
      </c>
    </row>
    <row r="98" customFormat="false" ht="15" hidden="false" customHeight="false" outlineLevel="0" collapsed="false">
      <c r="A98" s="85" t="str">
        <f aca="false">IF(INDEX(Candidates!$A$1:$A$500,K98)="","",INDEX(Candidates!$A$1:$A$500,K98))</f>
        <v>Cotton Eye Joe</v>
      </c>
      <c r="B98" s="85" t="str">
        <f aca="false">IF(A98="","",INDEX(Candidates!$C$1:$C$500,K98))</f>
        <v>Front-End Developer</v>
      </c>
      <c r="C98" s="85" t="str">
        <f aca="false">IF(A98="","",INDEX(Candidates!$D$1:$D$500,K98))</f>
        <v>Software Developer</v>
      </c>
      <c r="D98" s="85" t="n">
        <f aca="false">IF(A98="","",L98)</f>
        <v>6</v>
      </c>
      <c r="E98" s="85" t="str">
        <f aca="false">IF(A98="","",INDEX($O$2:$O$8,L98))</f>
        <v>Technical Interview</v>
      </c>
      <c r="F98" s="85" t="str">
        <f aca="false">IF(A98="","",IF(ISNUMBER(INDEX(Candidates!$A$1:$Z$500,K98,INDEX($P$2:$P$8,L98))),INDEX(Candidates!$A$1:$Z$500,K98,INDEX($P$2:$P$8,L98)),""))</f>
        <v/>
      </c>
      <c r="G98" s="85" t="n">
        <f aca="false">IF(A98="","",INDEX($Q$2:$Q$8,L98))</f>
        <v>8</v>
      </c>
      <c r="H98" s="85" t="str">
        <f aca="false">IF(A98="","",IF(F98="","Not yet scored",IF(F98&gt;=G98,"Pass","Fail")))</f>
        <v>Not yet scored</v>
      </c>
      <c r="I98" s="85" t="str">
        <f aca="false">IF(A98="","",INDEX(Candidates!$B$1:$B$500,K98))</f>
        <v>FAIL</v>
      </c>
      <c r="K98" s="86" t="n">
        <f aca="false">INT((ROW()-2)/7)+2</f>
        <v>15</v>
      </c>
      <c r="L98" s="86" t="n">
        <f aca="false">MOD(ROW()-2,7)+1</f>
        <v>6</v>
      </c>
    </row>
    <row r="99" customFormat="false" ht="15" hidden="false" customHeight="false" outlineLevel="0" collapsed="false">
      <c r="A99" s="85" t="str">
        <f aca="false">IF(INDEX(Candidates!$A$1:$A$500,K99)="","",INDEX(Candidates!$A$1:$A$500,K99))</f>
        <v>Cotton Eye Joe</v>
      </c>
      <c r="B99" s="85" t="str">
        <f aca="false">IF(A99="","",INDEX(Candidates!$C$1:$C$500,K99))</f>
        <v>Front-End Developer</v>
      </c>
      <c r="C99" s="85" t="str">
        <f aca="false">IF(A99="","",INDEX(Candidates!$D$1:$D$500,K99))</f>
        <v>Software Developer</v>
      </c>
      <c r="D99" s="85" t="n">
        <f aca="false">IF(A99="","",L99)</f>
        <v>7</v>
      </c>
      <c r="E99" s="85" t="str">
        <f aca="false">IF(A99="","",INDEX($O$2:$O$8,L99))</f>
        <v>Final Interview</v>
      </c>
      <c r="F99" s="85" t="str">
        <f aca="false">IF(A99="","",IF(ISNUMBER(INDEX(Candidates!$A$1:$Z$500,K99,INDEX($P$2:$P$8,L99))),INDEX(Candidates!$A$1:$Z$500,K99,INDEX($P$2:$P$8,L99)),""))</f>
        <v/>
      </c>
      <c r="G99" s="85" t="n">
        <f aca="false">IF(A99="","",INDEX($Q$2:$Q$8,L99))</f>
        <v>8</v>
      </c>
      <c r="H99" s="85" t="str">
        <f aca="false">IF(A99="","",IF(F99="","Not yet scored",IF(F99&gt;=G99,"Pass","Fail")))</f>
        <v>Not yet scored</v>
      </c>
      <c r="I99" s="85" t="str">
        <f aca="false">IF(A99="","",INDEX(Candidates!$B$1:$B$500,K99))</f>
        <v>FAIL</v>
      </c>
      <c r="K99" s="86" t="n">
        <f aca="false">INT((ROW()-2)/7)+2</f>
        <v>15</v>
      </c>
      <c r="L99" s="86" t="n">
        <f aca="false">MOD(ROW()-2,7)+1</f>
        <v>7</v>
      </c>
    </row>
    <row r="100" customFormat="false" ht="15" hidden="false" customHeight="false" outlineLevel="0" collapsed="false">
      <c r="A100" s="85" t="str">
        <f aca="false">IF(INDEX(Candidates!$A$1:$A$500,K100)="","",INDEX(Candidates!$A$1:$A$500,K100))</f>
        <v>Rain Lu</v>
      </c>
      <c r="B100" s="85" t="str">
        <f aca="false">IF(A100="","",INDEX(Candidates!$C$1:$C$500,K100))</f>
        <v>Business Operations Associate</v>
      </c>
      <c r="C100" s="85" t="str">
        <f aca="false">IF(A100="","",INDEX(Candidates!$D$1:$D$500,K100))</f>
        <v>Commercial Team</v>
      </c>
      <c r="D100" s="85" t="n">
        <f aca="false">IF(A100="","",L100)</f>
        <v>1</v>
      </c>
      <c r="E100" s="85" t="str">
        <f aca="false">IF(A100="","",INDEX($O$2:$O$8,L100))</f>
        <v>Resume Review</v>
      </c>
      <c r="F100" s="85" t="n">
        <f aca="false">IF(A100="","",IF(ISNUMBER(INDEX(Candidates!$A$1:$Z$500,K100,INDEX($P$2:$P$8,L100))),INDEX(Candidates!$A$1:$Z$500,K100,INDEX($P$2:$P$8,L100)),""))</f>
        <v>4</v>
      </c>
      <c r="G100" s="85" t="n">
        <f aca="false">IF(A100="","",INDEX($Q$2:$Q$8,L100))</f>
        <v>5</v>
      </c>
      <c r="H100" s="85" t="str">
        <f aca="false">IF(A100="","",IF(F100="","Not yet scored",IF(F100&gt;=G100,"Pass","Fail")))</f>
        <v>Fail</v>
      </c>
      <c r="I100" s="85" t="str">
        <f aca="false">IF(A100="","",INDEX(Candidates!$B$1:$B$500,K100))</f>
        <v>FAIL</v>
      </c>
      <c r="K100" s="86" t="n">
        <f aca="false">INT((ROW()-2)/7)+2</f>
        <v>16</v>
      </c>
      <c r="L100" s="86" t="n">
        <f aca="false">MOD(ROW()-2,7)+1</f>
        <v>1</v>
      </c>
    </row>
    <row r="101" customFormat="false" ht="15" hidden="false" customHeight="false" outlineLevel="0" collapsed="false">
      <c r="A101" s="85" t="str">
        <f aca="false">IF(INDEX(Candidates!$A$1:$A$500,K101)="","",INDEX(Candidates!$A$1:$A$500,K101))</f>
        <v>Rain Lu</v>
      </c>
      <c r="B101" s="85" t="str">
        <f aca="false">IF(A101="","",INDEX(Candidates!$C$1:$C$500,K101))</f>
        <v>Business Operations Associate</v>
      </c>
      <c r="C101" s="85" t="str">
        <f aca="false">IF(A101="","",INDEX(Candidates!$D$1:$D$500,K101))</f>
        <v>Commercial Team</v>
      </c>
      <c r="D101" s="85" t="n">
        <f aca="false">IF(A101="","",L101)</f>
        <v>2</v>
      </c>
      <c r="E101" s="85" t="str">
        <f aca="false">IF(A101="","",INDEX($O$2:$O$8,L101))</f>
        <v>Tech Assessment</v>
      </c>
      <c r="F101" s="85" t="str">
        <f aca="false">IF(A101="","",IF(ISNUMBER(INDEX(Candidates!$A$1:$Z$500,K101,INDEX($P$2:$P$8,L101))),INDEX(Candidates!$A$1:$Z$500,K101,INDEX($P$2:$P$8,L101)),""))</f>
        <v/>
      </c>
      <c r="G101" s="85" t="n">
        <f aca="false">IF(A101="","",INDEX($Q$2:$Q$8,L101))</f>
        <v>7</v>
      </c>
      <c r="H101" s="85" t="str">
        <f aca="false">IF(A101="","",IF(F101="","Not yet scored",IF(F101&gt;=G101,"Pass","Fail")))</f>
        <v>Not yet scored</v>
      </c>
      <c r="I101" s="85" t="str">
        <f aca="false">IF(A101="","",INDEX(Candidates!$B$1:$B$500,K101))</f>
        <v>FAIL</v>
      </c>
      <c r="K101" s="86" t="n">
        <f aca="false">INT((ROW()-2)/7)+2</f>
        <v>16</v>
      </c>
      <c r="L101" s="86" t="n">
        <f aca="false">MOD(ROW()-2,7)+1</f>
        <v>2</v>
      </c>
    </row>
    <row r="102" customFormat="false" ht="15" hidden="false" customHeight="false" outlineLevel="0" collapsed="false">
      <c r="A102" s="85" t="str">
        <f aca="false">IF(INDEX(Candidates!$A$1:$A$500,K102)="","",INDEX(Candidates!$A$1:$A$500,K102))</f>
        <v>Rain Lu</v>
      </c>
      <c r="B102" s="85" t="str">
        <f aca="false">IF(A102="","",INDEX(Candidates!$C$1:$C$500,K102))</f>
        <v>Business Operations Associate</v>
      </c>
      <c r="C102" s="85" t="str">
        <f aca="false">IF(A102="","",INDEX(Candidates!$D$1:$D$500,K102))</f>
        <v>Commercial Team</v>
      </c>
      <c r="D102" s="85" t="n">
        <f aca="false">IF(A102="","",L102)</f>
        <v>3</v>
      </c>
      <c r="E102" s="85" t="str">
        <f aca="false">IF(A102="","",INDEX($O$2:$O$8,L102))</f>
        <v>Initial Meeting</v>
      </c>
      <c r="F102" s="85" t="str">
        <f aca="false">IF(A102="","",IF(ISNUMBER(INDEX(Candidates!$A$1:$Z$500,K102,INDEX($P$2:$P$8,L102))),INDEX(Candidates!$A$1:$Z$500,K102,INDEX($P$2:$P$8,L102)),""))</f>
        <v/>
      </c>
      <c r="G102" s="85" t="n">
        <f aca="false">IF(A102="","",INDEX($Q$2:$Q$8,L102))</f>
        <v>6</v>
      </c>
      <c r="H102" s="85" t="str">
        <f aca="false">IF(A102="","",IF(F102="","Not yet scored",IF(F102&gt;=G102,"Pass","Fail")))</f>
        <v>Not yet scored</v>
      </c>
      <c r="I102" s="85" t="str">
        <f aca="false">IF(A102="","",INDEX(Candidates!$B$1:$B$500,K102))</f>
        <v>FAIL</v>
      </c>
      <c r="K102" s="86" t="n">
        <f aca="false">INT((ROW()-2)/7)+2</f>
        <v>16</v>
      </c>
      <c r="L102" s="86" t="n">
        <f aca="false">MOD(ROW()-2,7)+1</f>
        <v>3</v>
      </c>
    </row>
    <row r="103" customFormat="false" ht="15" hidden="false" customHeight="false" outlineLevel="0" collapsed="false">
      <c r="A103" s="85" t="str">
        <f aca="false">IF(INDEX(Candidates!$A$1:$A$500,K103)="","",INDEX(Candidates!$A$1:$A$500,K103))</f>
        <v>Rain Lu</v>
      </c>
      <c r="B103" s="85" t="str">
        <f aca="false">IF(A103="","",INDEX(Candidates!$C$1:$C$500,K103))</f>
        <v>Business Operations Associate</v>
      </c>
      <c r="C103" s="85" t="str">
        <f aca="false">IF(A103="","",INDEX(Candidates!$D$1:$D$500,K103))</f>
        <v>Commercial Team</v>
      </c>
      <c r="D103" s="85" t="n">
        <f aca="false">IF(A103="","",L103)</f>
        <v>4</v>
      </c>
      <c r="E103" s="85" t="str">
        <f aca="false">IF(A103="","",INDEX($O$2:$O$8,L103))</f>
        <v>Portfolio</v>
      </c>
      <c r="F103" s="85" t="str">
        <f aca="false">IF(A103="","",IF(ISNUMBER(INDEX(Candidates!$A$1:$Z$500,K103,INDEX($P$2:$P$8,L103))),INDEX(Candidates!$A$1:$Z$500,K103,INDEX($P$2:$P$8,L103)),""))</f>
        <v/>
      </c>
      <c r="G103" s="85" t="n">
        <f aca="false">IF(A103="","",INDEX($Q$2:$Q$8,L103))</f>
        <v>7</v>
      </c>
      <c r="H103" s="85" t="str">
        <f aca="false">IF(A103="","",IF(F103="","Not yet scored",IF(F103&gt;=G103,"Pass","Fail")))</f>
        <v>Not yet scored</v>
      </c>
      <c r="I103" s="85" t="str">
        <f aca="false">IF(A103="","",INDEX(Candidates!$B$1:$B$500,K103))</f>
        <v>FAIL</v>
      </c>
      <c r="K103" s="86" t="n">
        <f aca="false">INT((ROW()-2)/7)+2</f>
        <v>16</v>
      </c>
      <c r="L103" s="86" t="n">
        <f aca="false">MOD(ROW()-2,7)+1</f>
        <v>4</v>
      </c>
    </row>
    <row r="104" customFormat="false" ht="15" hidden="false" customHeight="false" outlineLevel="0" collapsed="false">
      <c r="A104" s="85" t="str">
        <f aca="false">IF(INDEX(Candidates!$A$1:$A$500,K104)="","",INDEX(Candidates!$A$1:$A$500,K104))</f>
        <v>Rain Lu</v>
      </c>
      <c r="B104" s="85" t="str">
        <f aca="false">IF(A104="","",INDEX(Candidates!$C$1:$C$500,K104))</f>
        <v>Business Operations Associate</v>
      </c>
      <c r="C104" s="85" t="str">
        <f aca="false">IF(A104="","",INDEX(Candidates!$D$1:$D$500,K104))</f>
        <v>Commercial Team</v>
      </c>
      <c r="D104" s="85" t="n">
        <f aca="false">IF(A104="","",L104)</f>
        <v>5</v>
      </c>
      <c r="E104" s="85" t="str">
        <f aca="false">IF(A104="","",INDEX($O$2:$O$8,L104))</f>
        <v>Personality Assessment</v>
      </c>
      <c r="F104" s="85" t="str">
        <f aca="false">IF(A104="","",IF(ISNUMBER(INDEX(Candidates!$A$1:$Z$500,K104,INDEX($P$2:$P$8,L104))),INDEX(Candidates!$A$1:$Z$500,K104,INDEX($P$2:$P$8,L104)),""))</f>
        <v/>
      </c>
      <c r="G104" s="85" t="n">
        <f aca="false">IF(A104="","",INDEX($Q$2:$Q$8,L104))</f>
        <v>6</v>
      </c>
      <c r="H104" s="85" t="str">
        <f aca="false">IF(A104="","",IF(F104="","Not yet scored",IF(F104&gt;=G104,"Pass","Fail")))</f>
        <v>Not yet scored</v>
      </c>
      <c r="I104" s="85" t="str">
        <f aca="false">IF(A104="","",INDEX(Candidates!$B$1:$B$500,K104))</f>
        <v>FAIL</v>
      </c>
      <c r="K104" s="86" t="n">
        <f aca="false">INT((ROW()-2)/7)+2</f>
        <v>16</v>
      </c>
      <c r="L104" s="86" t="n">
        <f aca="false">MOD(ROW()-2,7)+1</f>
        <v>5</v>
      </c>
    </row>
    <row r="105" customFormat="false" ht="15" hidden="false" customHeight="false" outlineLevel="0" collapsed="false">
      <c r="A105" s="85" t="str">
        <f aca="false">IF(INDEX(Candidates!$A$1:$A$500,K105)="","",INDEX(Candidates!$A$1:$A$500,K105))</f>
        <v>Rain Lu</v>
      </c>
      <c r="B105" s="85" t="str">
        <f aca="false">IF(A105="","",INDEX(Candidates!$C$1:$C$500,K105))</f>
        <v>Business Operations Associate</v>
      </c>
      <c r="C105" s="85" t="str">
        <f aca="false">IF(A105="","",INDEX(Candidates!$D$1:$D$500,K105))</f>
        <v>Commercial Team</v>
      </c>
      <c r="D105" s="85" t="n">
        <f aca="false">IF(A105="","",L105)</f>
        <v>6</v>
      </c>
      <c r="E105" s="85" t="str">
        <f aca="false">IF(A105="","",INDEX($O$2:$O$8,L105))</f>
        <v>Technical Interview</v>
      </c>
      <c r="F105" s="85" t="str">
        <f aca="false">IF(A105="","",IF(ISNUMBER(INDEX(Candidates!$A$1:$Z$500,K105,INDEX($P$2:$P$8,L105))),INDEX(Candidates!$A$1:$Z$500,K105,INDEX($P$2:$P$8,L105)),""))</f>
        <v/>
      </c>
      <c r="G105" s="85" t="n">
        <f aca="false">IF(A105="","",INDEX($Q$2:$Q$8,L105))</f>
        <v>8</v>
      </c>
      <c r="H105" s="85" t="str">
        <f aca="false">IF(A105="","",IF(F105="","Not yet scored",IF(F105&gt;=G105,"Pass","Fail")))</f>
        <v>Not yet scored</v>
      </c>
      <c r="I105" s="85" t="str">
        <f aca="false">IF(A105="","",INDEX(Candidates!$B$1:$B$500,K105))</f>
        <v>FAIL</v>
      </c>
      <c r="K105" s="86" t="n">
        <f aca="false">INT((ROW()-2)/7)+2</f>
        <v>16</v>
      </c>
      <c r="L105" s="86" t="n">
        <f aca="false">MOD(ROW()-2,7)+1</f>
        <v>6</v>
      </c>
    </row>
    <row r="106" customFormat="false" ht="15" hidden="false" customHeight="false" outlineLevel="0" collapsed="false">
      <c r="A106" s="85" t="str">
        <f aca="false">IF(INDEX(Candidates!$A$1:$A$500,K106)="","",INDEX(Candidates!$A$1:$A$500,K106))</f>
        <v>Rain Lu</v>
      </c>
      <c r="B106" s="85" t="str">
        <f aca="false">IF(A106="","",INDEX(Candidates!$C$1:$C$500,K106))</f>
        <v>Business Operations Associate</v>
      </c>
      <c r="C106" s="85" t="str">
        <f aca="false">IF(A106="","",INDEX(Candidates!$D$1:$D$500,K106))</f>
        <v>Commercial Team</v>
      </c>
      <c r="D106" s="85" t="n">
        <f aca="false">IF(A106="","",L106)</f>
        <v>7</v>
      </c>
      <c r="E106" s="85" t="str">
        <f aca="false">IF(A106="","",INDEX($O$2:$O$8,L106))</f>
        <v>Final Interview</v>
      </c>
      <c r="F106" s="85" t="str">
        <f aca="false">IF(A106="","",IF(ISNUMBER(INDEX(Candidates!$A$1:$Z$500,K106,INDEX($P$2:$P$8,L106))),INDEX(Candidates!$A$1:$Z$500,K106,INDEX($P$2:$P$8,L106)),""))</f>
        <v/>
      </c>
      <c r="G106" s="85" t="n">
        <f aca="false">IF(A106="","",INDEX($Q$2:$Q$8,L106))</f>
        <v>8</v>
      </c>
      <c r="H106" s="85" t="str">
        <f aca="false">IF(A106="","",IF(F106="","Not yet scored",IF(F106&gt;=G106,"Pass","Fail")))</f>
        <v>Not yet scored</v>
      </c>
      <c r="I106" s="85" t="str">
        <f aca="false">IF(A106="","",INDEX(Candidates!$B$1:$B$500,K106))</f>
        <v>FAIL</v>
      </c>
      <c r="K106" s="86" t="n">
        <f aca="false">INT((ROW()-2)/7)+2</f>
        <v>16</v>
      </c>
      <c r="L106" s="86" t="n">
        <f aca="false">MOD(ROW()-2,7)+1</f>
        <v>7</v>
      </c>
    </row>
    <row r="107" customFormat="false" ht="15" hidden="false" customHeight="false" outlineLevel="0" collapsed="false">
      <c r="A107" s="85" t="str">
        <f aca="false">IF(INDEX(Candidates!$A$1:$A$500,K107)="","",INDEX(Candidates!$A$1:$A$500,K107))</f>
        <v>Om Patel</v>
      </c>
      <c r="B107" s="85" t="str">
        <f aca="false">IF(A107="","",INDEX(Candidates!$C$1:$C$500,K107))</f>
        <v>Infrastructure Developer</v>
      </c>
      <c r="C107" s="85" t="str">
        <f aca="false">IF(A107="","",INDEX(Candidates!$D$1:$D$500,K107))</f>
        <v>Software Developer</v>
      </c>
      <c r="D107" s="85" t="n">
        <f aca="false">IF(A107="","",L107)</f>
        <v>1</v>
      </c>
      <c r="E107" s="85" t="str">
        <f aca="false">IF(A107="","",INDEX($O$2:$O$8,L107))</f>
        <v>Resume Review</v>
      </c>
      <c r="F107" s="85" t="n">
        <f aca="false">IF(A107="","",IF(ISNUMBER(INDEX(Candidates!$A$1:$Z$500,K107,INDEX($P$2:$P$8,L107))),INDEX(Candidates!$A$1:$Z$500,K107,INDEX($P$2:$P$8,L107)),""))</f>
        <v>5</v>
      </c>
      <c r="G107" s="85" t="n">
        <f aca="false">IF(A107="","",INDEX($Q$2:$Q$8,L107))</f>
        <v>5</v>
      </c>
      <c r="H107" s="85" t="str">
        <f aca="false">IF(A107="","",IF(F107="","Not yet scored",IF(F107&gt;=G107,"Pass","Fail")))</f>
        <v>Pass</v>
      </c>
      <c r="I107" s="85" t="str">
        <f aca="false">IF(A107="","",INDEX(Candidates!$B$1:$B$500,K107))</f>
        <v>Send Technical Assessment</v>
      </c>
      <c r="K107" s="86" t="n">
        <f aca="false">INT((ROW()-2)/7)+2</f>
        <v>17</v>
      </c>
      <c r="L107" s="86" t="n">
        <f aca="false">MOD(ROW()-2,7)+1</f>
        <v>1</v>
      </c>
    </row>
    <row r="108" customFormat="false" ht="15" hidden="false" customHeight="false" outlineLevel="0" collapsed="false">
      <c r="A108" s="85" t="str">
        <f aca="false">IF(INDEX(Candidates!$A$1:$A$500,K108)="","",INDEX(Candidates!$A$1:$A$500,K108))</f>
        <v>Om Patel</v>
      </c>
      <c r="B108" s="85" t="str">
        <f aca="false">IF(A108="","",INDEX(Candidates!$C$1:$C$500,K108))</f>
        <v>Infrastructure Developer</v>
      </c>
      <c r="C108" s="85" t="str">
        <f aca="false">IF(A108="","",INDEX(Candidates!$D$1:$D$500,K108))</f>
        <v>Software Developer</v>
      </c>
      <c r="D108" s="85" t="n">
        <f aca="false">IF(A108="","",L108)</f>
        <v>2</v>
      </c>
      <c r="E108" s="85" t="str">
        <f aca="false">IF(A108="","",INDEX($O$2:$O$8,L108))</f>
        <v>Tech Assessment</v>
      </c>
      <c r="F108" s="85" t="str">
        <f aca="false">IF(A108="","",IF(ISNUMBER(INDEX(Candidates!$A$1:$Z$500,K108,INDEX($P$2:$P$8,L108))),INDEX(Candidates!$A$1:$Z$500,K108,INDEX($P$2:$P$8,L108)),""))</f>
        <v/>
      </c>
      <c r="G108" s="85" t="n">
        <f aca="false">IF(A108="","",INDEX($Q$2:$Q$8,L108))</f>
        <v>7</v>
      </c>
      <c r="H108" s="85" t="str">
        <f aca="false">IF(A108="","",IF(F108="","Not yet scored",IF(F108&gt;=G108,"Pass","Fail")))</f>
        <v>Not yet scored</v>
      </c>
      <c r="I108" s="85" t="str">
        <f aca="false">IF(A108="","",INDEX(Candidates!$B$1:$B$500,K108))</f>
        <v>Send Technical Assessment</v>
      </c>
      <c r="K108" s="86" t="n">
        <f aca="false">INT((ROW()-2)/7)+2</f>
        <v>17</v>
      </c>
      <c r="L108" s="86" t="n">
        <f aca="false">MOD(ROW()-2,7)+1</f>
        <v>2</v>
      </c>
    </row>
    <row r="109" customFormat="false" ht="15" hidden="false" customHeight="false" outlineLevel="0" collapsed="false">
      <c r="A109" s="85" t="str">
        <f aca="false">IF(INDEX(Candidates!$A$1:$A$500,K109)="","",INDEX(Candidates!$A$1:$A$500,K109))</f>
        <v>Om Patel</v>
      </c>
      <c r="B109" s="85" t="str">
        <f aca="false">IF(A109="","",INDEX(Candidates!$C$1:$C$500,K109))</f>
        <v>Infrastructure Developer</v>
      </c>
      <c r="C109" s="85" t="str">
        <f aca="false">IF(A109="","",INDEX(Candidates!$D$1:$D$500,K109))</f>
        <v>Software Developer</v>
      </c>
      <c r="D109" s="85" t="n">
        <f aca="false">IF(A109="","",L109)</f>
        <v>3</v>
      </c>
      <c r="E109" s="85" t="str">
        <f aca="false">IF(A109="","",INDEX($O$2:$O$8,L109))</f>
        <v>Initial Meeting</v>
      </c>
      <c r="F109" s="85" t="str">
        <f aca="false">IF(A109="","",IF(ISNUMBER(INDEX(Candidates!$A$1:$Z$500,K109,INDEX($P$2:$P$8,L109))),INDEX(Candidates!$A$1:$Z$500,K109,INDEX($P$2:$P$8,L109)),""))</f>
        <v/>
      </c>
      <c r="G109" s="85" t="n">
        <f aca="false">IF(A109="","",INDEX($Q$2:$Q$8,L109))</f>
        <v>6</v>
      </c>
      <c r="H109" s="85" t="str">
        <f aca="false">IF(A109="","",IF(F109="","Not yet scored",IF(F109&gt;=G109,"Pass","Fail")))</f>
        <v>Not yet scored</v>
      </c>
      <c r="I109" s="85" t="str">
        <f aca="false">IF(A109="","",INDEX(Candidates!$B$1:$B$500,K109))</f>
        <v>Send Technical Assessment</v>
      </c>
      <c r="K109" s="86" t="n">
        <f aca="false">INT((ROW()-2)/7)+2</f>
        <v>17</v>
      </c>
      <c r="L109" s="86" t="n">
        <f aca="false">MOD(ROW()-2,7)+1</f>
        <v>3</v>
      </c>
    </row>
    <row r="110" customFormat="false" ht="15" hidden="false" customHeight="false" outlineLevel="0" collapsed="false">
      <c r="A110" s="85" t="str">
        <f aca="false">IF(INDEX(Candidates!$A$1:$A$500,K110)="","",INDEX(Candidates!$A$1:$A$500,K110))</f>
        <v>Om Patel</v>
      </c>
      <c r="B110" s="85" t="str">
        <f aca="false">IF(A110="","",INDEX(Candidates!$C$1:$C$500,K110))</f>
        <v>Infrastructure Developer</v>
      </c>
      <c r="C110" s="85" t="str">
        <f aca="false">IF(A110="","",INDEX(Candidates!$D$1:$D$500,K110))</f>
        <v>Software Developer</v>
      </c>
      <c r="D110" s="85" t="n">
        <f aca="false">IF(A110="","",L110)</f>
        <v>4</v>
      </c>
      <c r="E110" s="85" t="str">
        <f aca="false">IF(A110="","",INDEX($O$2:$O$8,L110))</f>
        <v>Portfolio</v>
      </c>
      <c r="F110" s="85" t="str">
        <f aca="false">IF(A110="","",IF(ISNUMBER(INDEX(Candidates!$A$1:$Z$500,K110,INDEX($P$2:$P$8,L110))),INDEX(Candidates!$A$1:$Z$500,K110,INDEX($P$2:$P$8,L110)),""))</f>
        <v/>
      </c>
      <c r="G110" s="85" t="n">
        <f aca="false">IF(A110="","",INDEX($Q$2:$Q$8,L110))</f>
        <v>7</v>
      </c>
      <c r="H110" s="85" t="str">
        <f aca="false">IF(A110="","",IF(F110="","Not yet scored",IF(F110&gt;=G110,"Pass","Fail")))</f>
        <v>Not yet scored</v>
      </c>
      <c r="I110" s="85" t="str">
        <f aca="false">IF(A110="","",INDEX(Candidates!$B$1:$B$500,K110))</f>
        <v>Send Technical Assessment</v>
      </c>
      <c r="K110" s="86" t="n">
        <f aca="false">INT((ROW()-2)/7)+2</f>
        <v>17</v>
      </c>
      <c r="L110" s="86" t="n">
        <f aca="false">MOD(ROW()-2,7)+1</f>
        <v>4</v>
      </c>
    </row>
    <row r="111" customFormat="false" ht="15" hidden="false" customHeight="false" outlineLevel="0" collapsed="false">
      <c r="A111" s="85" t="str">
        <f aca="false">IF(INDEX(Candidates!$A$1:$A$500,K111)="","",INDEX(Candidates!$A$1:$A$500,K111))</f>
        <v>Om Patel</v>
      </c>
      <c r="B111" s="85" t="str">
        <f aca="false">IF(A111="","",INDEX(Candidates!$C$1:$C$500,K111))</f>
        <v>Infrastructure Developer</v>
      </c>
      <c r="C111" s="85" t="str">
        <f aca="false">IF(A111="","",INDEX(Candidates!$D$1:$D$500,K111))</f>
        <v>Software Developer</v>
      </c>
      <c r="D111" s="85" t="n">
        <f aca="false">IF(A111="","",L111)</f>
        <v>5</v>
      </c>
      <c r="E111" s="85" t="str">
        <f aca="false">IF(A111="","",INDEX($O$2:$O$8,L111))</f>
        <v>Personality Assessment</v>
      </c>
      <c r="F111" s="85" t="str">
        <f aca="false">IF(A111="","",IF(ISNUMBER(INDEX(Candidates!$A$1:$Z$500,K111,INDEX($P$2:$P$8,L111))),INDEX(Candidates!$A$1:$Z$500,K111,INDEX($P$2:$P$8,L111)),""))</f>
        <v/>
      </c>
      <c r="G111" s="85" t="n">
        <f aca="false">IF(A111="","",INDEX($Q$2:$Q$8,L111))</f>
        <v>6</v>
      </c>
      <c r="H111" s="85" t="str">
        <f aca="false">IF(A111="","",IF(F111="","Not yet scored",IF(F111&gt;=G111,"Pass","Fail")))</f>
        <v>Not yet scored</v>
      </c>
      <c r="I111" s="85" t="str">
        <f aca="false">IF(A111="","",INDEX(Candidates!$B$1:$B$500,K111))</f>
        <v>Send Technical Assessment</v>
      </c>
      <c r="K111" s="86" t="n">
        <f aca="false">INT((ROW()-2)/7)+2</f>
        <v>17</v>
      </c>
      <c r="L111" s="86" t="n">
        <f aca="false">MOD(ROW()-2,7)+1</f>
        <v>5</v>
      </c>
    </row>
    <row r="112" customFormat="false" ht="15" hidden="false" customHeight="false" outlineLevel="0" collapsed="false">
      <c r="A112" s="85" t="str">
        <f aca="false">IF(INDEX(Candidates!$A$1:$A$500,K112)="","",INDEX(Candidates!$A$1:$A$500,K112))</f>
        <v>Om Patel</v>
      </c>
      <c r="B112" s="85" t="str">
        <f aca="false">IF(A112="","",INDEX(Candidates!$C$1:$C$500,K112))</f>
        <v>Infrastructure Developer</v>
      </c>
      <c r="C112" s="85" t="str">
        <f aca="false">IF(A112="","",INDEX(Candidates!$D$1:$D$500,K112))</f>
        <v>Software Developer</v>
      </c>
      <c r="D112" s="85" t="n">
        <f aca="false">IF(A112="","",L112)</f>
        <v>6</v>
      </c>
      <c r="E112" s="85" t="str">
        <f aca="false">IF(A112="","",INDEX($O$2:$O$8,L112))</f>
        <v>Technical Interview</v>
      </c>
      <c r="F112" s="85" t="str">
        <f aca="false">IF(A112="","",IF(ISNUMBER(INDEX(Candidates!$A$1:$Z$500,K112,INDEX($P$2:$P$8,L112))),INDEX(Candidates!$A$1:$Z$500,K112,INDEX($P$2:$P$8,L112)),""))</f>
        <v/>
      </c>
      <c r="G112" s="85" t="n">
        <f aca="false">IF(A112="","",INDEX($Q$2:$Q$8,L112))</f>
        <v>8</v>
      </c>
      <c r="H112" s="85" t="str">
        <f aca="false">IF(A112="","",IF(F112="","Not yet scored",IF(F112&gt;=G112,"Pass","Fail")))</f>
        <v>Not yet scored</v>
      </c>
      <c r="I112" s="85" t="str">
        <f aca="false">IF(A112="","",INDEX(Candidates!$B$1:$B$500,K112))</f>
        <v>Send Technical Assessment</v>
      </c>
      <c r="K112" s="86" t="n">
        <f aca="false">INT((ROW()-2)/7)+2</f>
        <v>17</v>
      </c>
      <c r="L112" s="86" t="n">
        <f aca="false">MOD(ROW()-2,7)+1</f>
        <v>6</v>
      </c>
    </row>
    <row r="113" customFormat="false" ht="15" hidden="false" customHeight="false" outlineLevel="0" collapsed="false">
      <c r="A113" s="85" t="str">
        <f aca="false">IF(INDEX(Candidates!$A$1:$A$500,K113)="","",INDEX(Candidates!$A$1:$A$500,K113))</f>
        <v>Om Patel</v>
      </c>
      <c r="B113" s="85" t="str">
        <f aca="false">IF(A113="","",INDEX(Candidates!$C$1:$C$500,K113))</f>
        <v>Infrastructure Developer</v>
      </c>
      <c r="C113" s="85" t="str">
        <f aca="false">IF(A113="","",INDEX(Candidates!$D$1:$D$500,K113))</f>
        <v>Software Developer</v>
      </c>
      <c r="D113" s="85" t="n">
        <f aca="false">IF(A113="","",L113)</f>
        <v>7</v>
      </c>
      <c r="E113" s="85" t="str">
        <f aca="false">IF(A113="","",INDEX($O$2:$O$8,L113))</f>
        <v>Final Interview</v>
      </c>
      <c r="F113" s="85" t="str">
        <f aca="false">IF(A113="","",IF(ISNUMBER(INDEX(Candidates!$A$1:$Z$500,K113,INDEX($P$2:$P$8,L113))),INDEX(Candidates!$A$1:$Z$500,K113,INDEX($P$2:$P$8,L113)),""))</f>
        <v/>
      </c>
      <c r="G113" s="85" t="n">
        <f aca="false">IF(A113="","",INDEX($Q$2:$Q$8,L113))</f>
        <v>8</v>
      </c>
      <c r="H113" s="85" t="str">
        <f aca="false">IF(A113="","",IF(F113="","Not yet scored",IF(F113&gt;=G113,"Pass","Fail")))</f>
        <v>Not yet scored</v>
      </c>
      <c r="I113" s="85" t="str">
        <f aca="false">IF(A113="","",INDEX(Candidates!$B$1:$B$500,K113))</f>
        <v>Send Technical Assessment</v>
      </c>
      <c r="K113" s="86" t="n">
        <f aca="false">INT((ROW()-2)/7)+2</f>
        <v>17</v>
      </c>
      <c r="L113" s="86" t="n">
        <f aca="false">MOD(ROW()-2,7)+1</f>
        <v>7</v>
      </c>
    </row>
    <row r="114" customFormat="false" ht="15" hidden="false" customHeight="false" outlineLevel="0" collapsed="false">
      <c r="A114" s="85" t="str">
        <f aca="false">IF(INDEX(Candidates!$A$1:$A$500,K114)="","",INDEX(Candidates!$A$1:$A$500,K114))</f>
        <v>David Wheatle</v>
      </c>
      <c r="B114" s="85" t="str">
        <f aca="false">IF(A114="","",INDEX(Candidates!$C$1:$C$500,K114))</f>
        <v>UX Designer</v>
      </c>
      <c r="C114" s="85" t="str">
        <f aca="false">IF(A114="","",INDEX(Candidates!$D$1:$D$500,K114))</f>
        <v>Graphic Designer</v>
      </c>
      <c r="D114" s="85" t="n">
        <f aca="false">IF(A114="","",L114)</f>
        <v>1</v>
      </c>
      <c r="E114" s="85" t="str">
        <f aca="false">IF(A114="","",INDEX($O$2:$O$8,L114))</f>
        <v>Resume Review</v>
      </c>
      <c r="F114" s="85" t="n">
        <f aca="false">IF(A114="","",IF(ISNUMBER(INDEX(Candidates!$A$1:$Z$500,K114,INDEX($P$2:$P$8,L114))),INDEX(Candidates!$A$1:$Z$500,K114,INDEX($P$2:$P$8,L114)),""))</f>
        <v>6</v>
      </c>
      <c r="G114" s="85" t="n">
        <f aca="false">IF(A114="","",INDEX($Q$2:$Q$8,L114))</f>
        <v>5</v>
      </c>
      <c r="H114" s="85" t="str">
        <f aca="false">IF(A114="","",IF(F114="","Not yet scored",IF(F114&gt;=G114,"Pass","Fail")))</f>
        <v>Pass</v>
      </c>
      <c r="I114" s="85" t="str">
        <f aca="false">IF(A114="","",INDEX(Candidates!$B$1:$B$500,K114))</f>
        <v>Ask for Portfolio</v>
      </c>
      <c r="K114" s="86" t="n">
        <f aca="false">INT((ROW()-2)/7)+2</f>
        <v>18</v>
      </c>
      <c r="L114" s="86" t="n">
        <f aca="false">MOD(ROW()-2,7)+1</f>
        <v>1</v>
      </c>
    </row>
    <row r="115" customFormat="false" ht="15" hidden="false" customHeight="false" outlineLevel="0" collapsed="false">
      <c r="A115" s="85" t="str">
        <f aca="false">IF(INDEX(Candidates!$A$1:$A$500,K115)="","",INDEX(Candidates!$A$1:$A$500,K115))</f>
        <v>David Wheatle</v>
      </c>
      <c r="B115" s="85" t="str">
        <f aca="false">IF(A115="","",INDEX(Candidates!$C$1:$C$500,K115))</f>
        <v>UX Designer</v>
      </c>
      <c r="C115" s="85" t="str">
        <f aca="false">IF(A115="","",INDEX(Candidates!$D$1:$D$500,K115))</f>
        <v>Graphic Designer</v>
      </c>
      <c r="D115" s="85" t="n">
        <f aca="false">IF(A115="","",L115)</f>
        <v>2</v>
      </c>
      <c r="E115" s="85" t="str">
        <f aca="false">IF(A115="","",INDEX($O$2:$O$8,L115))</f>
        <v>Tech Assessment</v>
      </c>
      <c r="F115" s="85" t="str">
        <f aca="false">IF(A115="","",IF(ISNUMBER(INDEX(Candidates!$A$1:$Z$500,K115,INDEX($P$2:$P$8,L115))),INDEX(Candidates!$A$1:$Z$500,K115,INDEX($P$2:$P$8,L115)),""))</f>
        <v/>
      </c>
      <c r="G115" s="85" t="n">
        <f aca="false">IF(A115="","",INDEX($Q$2:$Q$8,L115))</f>
        <v>7</v>
      </c>
      <c r="H115" s="85" t="str">
        <f aca="false">IF(A115="","",IF(F115="","Not yet scored",IF(F115&gt;=G115,"Pass","Fail")))</f>
        <v>Not yet scored</v>
      </c>
      <c r="I115" s="85" t="str">
        <f aca="false">IF(A115="","",INDEX(Candidates!$B$1:$B$500,K115))</f>
        <v>Ask for Portfolio</v>
      </c>
      <c r="K115" s="86" t="n">
        <f aca="false">INT((ROW()-2)/7)+2</f>
        <v>18</v>
      </c>
      <c r="L115" s="86" t="n">
        <f aca="false">MOD(ROW()-2,7)+1</f>
        <v>2</v>
      </c>
    </row>
    <row r="116" customFormat="false" ht="15" hidden="false" customHeight="false" outlineLevel="0" collapsed="false">
      <c r="A116" s="85" t="str">
        <f aca="false">IF(INDEX(Candidates!$A$1:$A$500,K116)="","",INDEX(Candidates!$A$1:$A$500,K116))</f>
        <v>David Wheatle</v>
      </c>
      <c r="B116" s="85" t="str">
        <f aca="false">IF(A116="","",INDEX(Candidates!$C$1:$C$500,K116))</f>
        <v>UX Designer</v>
      </c>
      <c r="C116" s="85" t="str">
        <f aca="false">IF(A116="","",INDEX(Candidates!$D$1:$D$500,K116))</f>
        <v>Graphic Designer</v>
      </c>
      <c r="D116" s="85" t="n">
        <f aca="false">IF(A116="","",L116)</f>
        <v>3</v>
      </c>
      <c r="E116" s="85" t="str">
        <f aca="false">IF(A116="","",INDEX($O$2:$O$8,L116))</f>
        <v>Initial Meeting</v>
      </c>
      <c r="F116" s="85" t="str">
        <f aca="false">IF(A116="","",IF(ISNUMBER(INDEX(Candidates!$A$1:$Z$500,K116,INDEX($P$2:$P$8,L116))),INDEX(Candidates!$A$1:$Z$500,K116,INDEX($P$2:$P$8,L116)),""))</f>
        <v/>
      </c>
      <c r="G116" s="85" t="n">
        <f aca="false">IF(A116="","",INDEX($Q$2:$Q$8,L116))</f>
        <v>6</v>
      </c>
      <c r="H116" s="85" t="str">
        <f aca="false">IF(A116="","",IF(F116="","Not yet scored",IF(F116&gt;=G116,"Pass","Fail")))</f>
        <v>Not yet scored</v>
      </c>
      <c r="I116" s="85" t="str">
        <f aca="false">IF(A116="","",INDEX(Candidates!$B$1:$B$500,K116))</f>
        <v>Ask for Portfolio</v>
      </c>
      <c r="K116" s="86" t="n">
        <f aca="false">INT((ROW()-2)/7)+2</f>
        <v>18</v>
      </c>
      <c r="L116" s="86" t="n">
        <f aca="false">MOD(ROW()-2,7)+1</f>
        <v>3</v>
      </c>
    </row>
    <row r="117" customFormat="false" ht="15" hidden="false" customHeight="false" outlineLevel="0" collapsed="false">
      <c r="A117" s="85" t="str">
        <f aca="false">IF(INDEX(Candidates!$A$1:$A$500,K117)="","",INDEX(Candidates!$A$1:$A$500,K117))</f>
        <v>David Wheatle</v>
      </c>
      <c r="B117" s="85" t="str">
        <f aca="false">IF(A117="","",INDEX(Candidates!$C$1:$C$500,K117))</f>
        <v>UX Designer</v>
      </c>
      <c r="C117" s="85" t="str">
        <f aca="false">IF(A117="","",INDEX(Candidates!$D$1:$D$500,K117))</f>
        <v>Graphic Designer</v>
      </c>
      <c r="D117" s="85" t="n">
        <f aca="false">IF(A117="","",L117)</f>
        <v>4</v>
      </c>
      <c r="E117" s="85" t="str">
        <f aca="false">IF(A117="","",INDEX($O$2:$O$8,L117))</f>
        <v>Portfolio</v>
      </c>
      <c r="F117" s="85" t="str">
        <f aca="false">IF(A117="","",IF(ISNUMBER(INDEX(Candidates!$A$1:$Z$500,K117,INDEX($P$2:$P$8,L117))),INDEX(Candidates!$A$1:$Z$500,K117,INDEX($P$2:$P$8,L117)),""))</f>
        <v/>
      </c>
      <c r="G117" s="85" t="n">
        <f aca="false">IF(A117="","",INDEX($Q$2:$Q$8,L117))</f>
        <v>7</v>
      </c>
      <c r="H117" s="85" t="str">
        <f aca="false">IF(A117="","",IF(F117="","Not yet scored",IF(F117&gt;=G117,"Pass","Fail")))</f>
        <v>Not yet scored</v>
      </c>
      <c r="I117" s="85" t="str">
        <f aca="false">IF(A117="","",INDEX(Candidates!$B$1:$B$500,K117))</f>
        <v>Ask for Portfolio</v>
      </c>
      <c r="K117" s="86" t="n">
        <f aca="false">INT((ROW()-2)/7)+2</f>
        <v>18</v>
      </c>
      <c r="L117" s="86" t="n">
        <f aca="false">MOD(ROW()-2,7)+1</f>
        <v>4</v>
      </c>
    </row>
    <row r="118" customFormat="false" ht="15" hidden="false" customHeight="false" outlineLevel="0" collapsed="false">
      <c r="A118" s="85" t="str">
        <f aca="false">IF(INDEX(Candidates!$A$1:$A$500,K118)="","",INDEX(Candidates!$A$1:$A$500,K118))</f>
        <v>David Wheatle</v>
      </c>
      <c r="B118" s="85" t="str">
        <f aca="false">IF(A118="","",INDEX(Candidates!$C$1:$C$500,K118))</f>
        <v>UX Designer</v>
      </c>
      <c r="C118" s="85" t="str">
        <f aca="false">IF(A118="","",INDEX(Candidates!$D$1:$D$500,K118))</f>
        <v>Graphic Designer</v>
      </c>
      <c r="D118" s="85" t="n">
        <f aca="false">IF(A118="","",L118)</f>
        <v>5</v>
      </c>
      <c r="E118" s="85" t="str">
        <f aca="false">IF(A118="","",INDEX($O$2:$O$8,L118))</f>
        <v>Personality Assessment</v>
      </c>
      <c r="F118" s="85" t="str">
        <f aca="false">IF(A118="","",IF(ISNUMBER(INDEX(Candidates!$A$1:$Z$500,K118,INDEX($P$2:$P$8,L118))),INDEX(Candidates!$A$1:$Z$500,K118,INDEX($P$2:$P$8,L118)),""))</f>
        <v/>
      </c>
      <c r="G118" s="85" t="n">
        <f aca="false">IF(A118="","",INDEX($Q$2:$Q$8,L118))</f>
        <v>6</v>
      </c>
      <c r="H118" s="85" t="str">
        <f aca="false">IF(A118="","",IF(F118="","Not yet scored",IF(F118&gt;=G118,"Pass","Fail")))</f>
        <v>Not yet scored</v>
      </c>
      <c r="I118" s="85" t="str">
        <f aca="false">IF(A118="","",INDEX(Candidates!$B$1:$B$500,K118))</f>
        <v>Ask for Portfolio</v>
      </c>
      <c r="K118" s="86" t="n">
        <f aca="false">INT((ROW()-2)/7)+2</f>
        <v>18</v>
      </c>
      <c r="L118" s="86" t="n">
        <f aca="false">MOD(ROW()-2,7)+1</f>
        <v>5</v>
      </c>
    </row>
    <row r="119" customFormat="false" ht="15" hidden="false" customHeight="false" outlineLevel="0" collapsed="false">
      <c r="A119" s="85" t="str">
        <f aca="false">IF(INDEX(Candidates!$A$1:$A$500,K119)="","",INDEX(Candidates!$A$1:$A$500,K119))</f>
        <v>David Wheatle</v>
      </c>
      <c r="B119" s="85" t="str">
        <f aca="false">IF(A119="","",INDEX(Candidates!$C$1:$C$500,K119))</f>
        <v>UX Designer</v>
      </c>
      <c r="C119" s="85" t="str">
        <f aca="false">IF(A119="","",INDEX(Candidates!$D$1:$D$500,K119))</f>
        <v>Graphic Designer</v>
      </c>
      <c r="D119" s="85" t="n">
        <f aca="false">IF(A119="","",L119)</f>
        <v>6</v>
      </c>
      <c r="E119" s="85" t="str">
        <f aca="false">IF(A119="","",INDEX($O$2:$O$8,L119))</f>
        <v>Technical Interview</v>
      </c>
      <c r="F119" s="85" t="str">
        <f aca="false">IF(A119="","",IF(ISNUMBER(INDEX(Candidates!$A$1:$Z$500,K119,INDEX($P$2:$P$8,L119))),INDEX(Candidates!$A$1:$Z$500,K119,INDEX($P$2:$P$8,L119)),""))</f>
        <v/>
      </c>
      <c r="G119" s="85" t="n">
        <f aca="false">IF(A119="","",INDEX($Q$2:$Q$8,L119))</f>
        <v>8</v>
      </c>
      <c r="H119" s="85" t="str">
        <f aca="false">IF(A119="","",IF(F119="","Not yet scored",IF(F119&gt;=G119,"Pass","Fail")))</f>
        <v>Not yet scored</v>
      </c>
      <c r="I119" s="85" t="str">
        <f aca="false">IF(A119="","",INDEX(Candidates!$B$1:$B$500,K119))</f>
        <v>Ask for Portfolio</v>
      </c>
      <c r="K119" s="86" t="n">
        <f aca="false">INT((ROW()-2)/7)+2</f>
        <v>18</v>
      </c>
      <c r="L119" s="86" t="n">
        <f aca="false">MOD(ROW()-2,7)+1</f>
        <v>6</v>
      </c>
    </row>
    <row r="120" customFormat="false" ht="15" hidden="false" customHeight="false" outlineLevel="0" collapsed="false">
      <c r="A120" s="85" t="str">
        <f aca="false">IF(INDEX(Candidates!$A$1:$A$500,K120)="","",INDEX(Candidates!$A$1:$A$500,K120))</f>
        <v>David Wheatle</v>
      </c>
      <c r="B120" s="85" t="str">
        <f aca="false">IF(A120="","",INDEX(Candidates!$C$1:$C$500,K120))</f>
        <v>UX Designer</v>
      </c>
      <c r="C120" s="85" t="str">
        <f aca="false">IF(A120="","",INDEX(Candidates!$D$1:$D$500,K120))</f>
        <v>Graphic Designer</v>
      </c>
      <c r="D120" s="85" t="n">
        <f aca="false">IF(A120="","",L120)</f>
        <v>7</v>
      </c>
      <c r="E120" s="85" t="str">
        <f aca="false">IF(A120="","",INDEX($O$2:$O$8,L120))</f>
        <v>Final Interview</v>
      </c>
      <c r="F120" s="85" t="str">
        <f aca="false">IF(A120="","",IF(ISNUMBER(INDEX(Candidates!$A$1:$Z$500,K120,INDEX($P$2:$P$8,L120))),INDEX(Candidates!$A$1:$Z$500,K120,INDEX($P$2:$P$8,L120)),""))</f>
        <v/>
      </c>
      <c r="G120" s="85" t="n">
        <f aca="false">IF(A120="","",INDEX($Q$2:$Q$8,L120))</f>
        <v>8</v>
      </c>
      <c r="H120" s="85" t="str">
        <f aca="false">IF(A120="","",IF(F120="","Not yet scored",IF(F120&gt;=G120,"Pass","Fail")))</f>
        <v>Not yet scored</v>
      </c>
      <c r="I120" s="85" t="str">
        <f aca="false">IF(A120="","",INDEX(Candidates!$B$1:$B$500,K120))</f>
        <v>Ask for Portfolio</v>
      </c>
      <c r="K120" s="86" t="n">
        <f aca="false">INT((ROW()-2)/7)+2</f>
        <v>18</v>
      </c>
      <c r="L120" s="86" t="n">
        <f aca="false">MOD(ROW()-2,7)+1</f>
        <v>7</v>
      </c>
    </row>
    <row r="121" customFormat="false" ht="15" hidden="false" customHeight="false" outlineLevel="0" collapsed="false">
      <c r="A121" s="85" t="str">
        <f aca="false">IF(INDEX(Candidates!$A$1:$A$500,K121)="","",INDEX(Candidates!$A$1:$A$500,K121))</f>
        <v>Julian Gaidola</v>
      </c>
      <c r="B121" s="85" t="str">
        <f aca="false">IF(A121="","",INDEX(Candidates!$C$1:$C$500,K121))</f>
        <v>Back-End Developer</v>
      </c>
      <c r="C121" s="85" t="str">
        <f aca="false">IF(A121="","",INDEX(Candidates!$D$1:$D$500,K121))</f>
        <v>Software Developer</v>
      </c>
      <c r="D121" s="85" t="n">
        <f aca="false">IF(A121="","",L121)</f>
        <v>1</v>
      </c>
      <c r="E121" s="85" t="str">
        <f aca="false">IF(A121="","",INDEX($O$2:$O$8,L121))</f>
        <v>Resume Review</v>
      </c>
      <c r="F121" s="85" t="n">
        <f aca="false">IF(A121="","",IF(ISNUMBER(INDEX(Candidates!$A$1:$Z$500,K121,INDEX($P$2:$P$8,L121))),INDEX(Candidates!$A$1:$Z$500,K121,INDEX($P$2:$P$8,L121)),""))</f>
        <v>7</v>
      </c>
      <c r="G121" s="85" t="n">
        <f aca="false">IF(A121="","",INDEX($Q$2:$Q$8,L121))</f>
        <v>5</v>
      </c>
      <c r="H121" s="85" t="str">
        <f aca="false">IF(A121="","",IF(F121="","Not yet scored",IF(F121&gt;=G121,"Pass","Fail")))</f>
        <v>Pass</v>
      </c>
      <c r="I121" s="85" t="str">
        <f aca="false">IF(A121="","",INDEX(Candidates!$B$1:$B$500,K121))</f>
        <v>Send Technical Assessment</v>
      </c>
      <c r="K121" s="86" t="n">
        <f aca="false">INT((ROW()-2)/7)+2</f>
        <v>19</v>
      </c>
      <c r="L121" s="86" t="n">
        <f aca="false">MOD(ROW()-2,7)+1</f>
        <v>1</v>
      </c>
    </row>
    <row r="122" customFormat="false" ht="15" hidden="false" customHeight="false" outlineLevel="0" collapsed="false">
      <c r="A122" s="85" t="str">
        <f aca="false">IF(INDEX(Candidates!$A$1:$A$500,K122)="","",INDEX(Candidates!$A$1:$A$500,K122))</f>
        <v>Julian Gaidola</v>
      </c>
      <c r="B122" s="85" t="str">
        <f aca="false">IF(A122="","",INDEX(Candidates!$C$1:$C$500,K122))</f>
        <v>Back-End Developer</v>
      </c>
      <c r="C122" s="85" t="str">
        <f aca="false">IF(A122="","",INDEX(Candidates!$D$1:$D$500,K122))</f>
        <v>Software Developer</v>
      </c>
      <c r="D122" s="85" t="n">
        <f aca="false">IF(A122="","",L122)</f>
        <v>2</v>
      </c>
      <c r="E122" s="85" t="str">
        <f aca="false">IF(A122="","",INDEX($O$2:$O$8,L122))</f>
        <v>Tech Assessment</v>
      </c>
      <c r="F122" s="85" t="str">
        <f aca="false">IF(A122="","",IF(ISNUMBER(INDEX(Candidates!$A$1:$Z$500,K122,INDEX($P$2:$P$8,L122))),INDEX(Candidates!$A$1:$Z$500,K122,INDEX($P$2:$P$8,L122)),""))</f>
        <v/>
      </c>
      <c r="G122" s="85" t="n">
        <f aca="false">IF(A122="","",INDEX($Q$2:$Q$8,L122))</f>
        <v>7</v>
      </c>
      <c r="H122" s="85" t="str">
        <f aca="false">IF(A122="","",IF(F122="","Not yet scored",IF(F122&gt;=G122,"Pass","Fail")))</f>
        <v>Not yet scored</v>
      </c>
      <c r="I122" s="85" t="str">
        <f aca="false">IF(A122="","",INDEX(Candidates!$B$1:$B$500,K122))</f>
        <v>Send Technical Assessment</v>
      </c>
      <c r="K122" s="86" t="n">
        <f aca="false">INT((ROW()-2)/7)+2</f>
        <v>19</v>
      </c>
      <c r="L122" s="86" t="n">
        <f aca="false">MOD(ROW()-2,7)+1</f>
        <v>2</v>
      </c>
    </row>
    <row r="123" customFormat="false" ht="15" hidden="false" customHeight="false" outlineLevel="0" collapsed="false">
      <c r="A123" s="85" t="str">
        <f aca="false">IF(INDEX(Candidates!$A$1:$A$500,K123)="","",INDEX(Candidates!$A$1:$A$500,K123))</f>
        <v>Julian Gaidola</v>
      </c>
      <c r="B123" s="85" t="str">
        <f aca="false">IF(A123="","",INDEX(Candidates!$C$1:$C$500,K123))</f>
        <v>Back-End Developer</v>
      </c>
      <c r="C123" s="85" t="str">
        <f aca="false">IF(A123="","",INDEX(Candidates!$D$1:$D$500,K123))</f>
        <v>Software Developer</v>
      </c>
      <c r="D123" s="85" t="n">
        <f aca="false">IF(A123="","",L123)</f>
        <v>3</v>
      </c>
      <c r="E123" s="85" t="str">
        <f aca="false">IF(A123="","",INDEX($O$2:$O$8,L123))</f>
        <v>Initial Meeting</v>
      </c>
      <c r="F123" s="85" t="str">
        <f aca="false">IF(A123="","",IF(ISNUMBER(INDEX(Candidates!$A$1:$Z$500,K123,INDEX($P$2:$P$8,L123))),INDEX(Candidates!$A$1:$Z$500,K123,INDEX($P$2:$P$8,L123)),""))</f>
        <v/>
      </c>
      <c r="G123" s="85" t="n">
        <f aca="false">IF(A123="","",INDEX($Q$2:$Q$8,L123))</f>
        <v>6</v>
      </c>
      <c r="H123" s="85" t="str">
        <f aca="false">IF(A123="","",IF(F123="","Not yet scored",IF(F123&gt;=G123,"Pass","Fail")))</f>
        <v>Not yet scored</v>
      </c>
      <c r="I123" s="85" t="str">
        <f aca="false">IF(A123="","",INDEX(Candidates!$B$1:$B$500,K123))</f>
        <v>Send Technical Assessment</v>
      </c>
      <c r="K123" s="86" t="n">
        <f aca="false">INT((ROW()-2)/7)+2</f>
        <v>19</v>
      </c>
      <c r="L123" s="86" t="n">
        <f aca="false">MOD(ROW()-2,7)+1</f>
        <v>3</v>
      </c>
    </row>
    <row r="124" customFormat="false" ht="15" hidden="false" customHeight="false" outlineLevel="0" collapsed="false">
      <c r="A124" s="85" t="str">
        <f aca="false">IF(INDEX(Candidates!$A$1:$A$500,K124)="","",INDEX(Candidates!$A$1:$A$500,K124))</f>
        <v>Julian Gaidola</v>
      </c>
      <c r="B124" s="85" t="str">
        <f aca="false">IF(A124="","",INDEX(Candidates!$C$1:$C$500,K124))</f>
        <v>Back-End Developer</v>
      </c>
      <c r="C124" s="85" t="str">
        <f aca="false">IF(A124="","",INDEX(Candidates!$D$1:$D$500,K124))</f>
        <v>Software Developer</v>
      </c>
      <c r="D124" s="85" t="n">
        <f aca="false">IF(A124="","",L124)</f>
        <v>4</v>
      </c>
      <c r="E124" s="85" t="str">
        <f aca="false">IF(A124="","",INDEX($O$2:$O$8,L124))</f>
        <v>Portfolio</v>
      </c>
      <c r="F124" s="85" t="str">
        <f aca="false">IF(A124="","",IF(ISNUMBER(INDEX(Candidates!$A$1:$Z$500,K124,INDEX($P$2:$P$8,L124))),INDEX(Candidates!$A$1:$Z$500,K124,INDEX($P$2:$P$8,L124)),""))</f>
        <v/>
      </c>
      <c r="G124" s="85" t="n">
        <f aca="false">IF(A124="","",INDEX($Q$2:$Q$8,L124))</f>
        <v>7</v>
      </c>
      <c r="H124" s="85" t="str">
        <f aca="false">IF(A124="","",IF(F124="","Not yet scored",IF(F124&gt;=G124,"Pass","Fail")))</f>
        <v>Not yet scored</v>
      </c>
      <c r="I124" s="85" t="str">
        <f aca="false">IF(A124="","",INDEX(Candidates!$B$1:$B$500,K124))</f>
        <v>Send Technical Assessment</v>
      </c>
      <c r="K124" s="86" t="n">
        <f aca="false">INT((ROW()-2)/7)+2</f>
        <v>19</v>
      </c>
      <c r="L124" s="86" t="n">
        <f aca="false">MOD(ROW()-2,7)+1</f>
        <v>4</v>
      </c>
    </row>
    <row r="125" customFormat="false" ht="15" hidden="false" customHeight="false" outlineLevel="0" collapsed="false">
      <c r="A125" s="85" t="str">
        <f aca="false">IF(INDEX(Candidates!$A$1:$A$500,K125)="","",INDEX(Candidates!$A$1:$A$500,K125))</f>
        <v>Julian Gaidola</v>
      </c>
      <c r="B125" s="85" t="str">
        <f aca="false">IF(A125="","",INDEX(Candidates!$C$1:$C$500,K125))</f>
        <v>Back-End Developer</v>
      </c>
      <c r="C125" s="85" t="str">
        <f aca="false">IF(A125="","",INDEX(Candidates!$D$1:$D$500,K125))</f>
        <v>Software Developer</v>
      </c>
      <c r="D125" s="85" t="n">
        <f aca="false">IF(A125="","",L125)</f>
        <v>5</v>
      </c>
      <c r="E125" s="85" t="str">
        <f aca="false">IF(A125="","",INDEX($O$2:$O$8,L125))</f>
        <v>Personality Assessment</v>
      </c>
      <c r="F125" s="85" t="str">
        <f aca="false">IF(A125="","",IF(ISNUMBER(INDEX(Candidates!$A$1:$Z$500,K125,INDEX($P$2:$P$8,L125))),INDEX(Candidates!$A$1:$Z$500,K125,INDEX($P$2:$P$8,L125)),""))</f>
        <v/>
      </c>
      <c r="G125" s="85" t="n">
        <f aca="false">IF(A125="","",INDEX($Q$2:$Q$8,L125))</f>
        <v>6</v>
      </c>
      <c r="H125" s="85" t="str">
        <f aca="false">IF(A125="","",IF(F125="","Not yet scored",IF(F125&gt;=G125,"Pass","Fail")))</f>
        <v>Not yet scored</v>
      </c>
      <c r="I125" s="85" t="str">
        <f aca="false">IF(A125="","",INDEX(Candidates!$B$1:$B$500,K125))</f>
        <v>Send Technical Assessment</v>
      </c>
      <c r="K125" s="86" t="n">
        <f aca="false">INT((ROW()-2)/7)+2</f>
        <v>19</v>
      </c>
      <c r="L125" s="86" t="n">
        <f aca="false">MOD(ROW()-2,7)+1</f>
        <v>5</v>
      </c>
    </row>
    <row r="126" customFormat="false" ht="15" hidden="false" customHeight="false" outlineLevel="0" collapsed="false">
      <c r="A126" s="85" t="str">
        <f aca="false">IF(INDEX(Candidates!$A$1:$A$500,K126)="","",INDEX(Candidates!$A$1:$A$500,K126))</f>
        <v>Julian Gaidola</v>
      </c>
      <c r="B126" s="85" t="str">
        <f aca="false">IF(A126="","",INDEX(Candidates!$C$1:$C$500,K126))</f>
        <v>Back-End Developer</v>
      </c>
      <c r="C126" s="85" t="str">
        <f aca="false">IF(A126="","",INDEX(Candidates!$D$1:$D$500,K126))</f>
        <v>Software Developer</v>
      </c>
      <c r="D126" s="85" t="n">
        <f aca="false">IF(A126="","",L126)</f>
        <v>6</v>
      </c>
      <c r="E126" s="85" t="str">
        <f aca="false">IF(A126="","",INDEX($O$2:$O$8,L126))</f>
        <v>Technical Interview</v>
      </c>
      <c r="F126" s="85" t="str">
        <f aca="false">IF(A126="","",IF(ISNUMBER(INDEX(Candidates!$A$1:$Z$500,K126,INDEX($P$2:$P$8,L126))),INDEX(Candidates!$A$1:$Z$500,K126,INDEX($P$2:$P$8,L126)),""))</f>
        <v/>
      </c>
      <c r="G126" s="85" t="n">
        <f aca="false">IF(A126="","",INDEX($Q$2:$Q$8,L126))</f>
        <v>8</v>
      </c>
      <c r="H126" s="85" t="str">
        <f aca="false">IF(A126="","",IF(F126="","Not yet scored",IF(F126&gt;=G126,"Pass","Fail")))</f>
        <v>Not yet scored</v>
      </c>
      <c r="I126" s="85" t="str">
        <f aca="false">IF(A126="","",INDEX(Candidates!$B$1:$B$500,K126))</f>
        <v>Send Technical Assessment</v>
      </c>
      <c r="K126" s="86" t="n">
        <f aca="false">INT((ROW()-2)/7)+2</f>
        <v>19</v>
      </c>
      <c r="L126" s="86" t="n">
        <f aca="false">MOD(ROW()-2,7)+1</f>
        <v>6</v>
      </c>
    </row>
    <row r="127" customFormat="false" ht="15" hidden="false" customHeight="false" outlineLevel="0" collapsed="false">
      <c r="A127" s="85" t="str">
        <f aca="false">IF(INDEX(Candidates!$A$1:$A$500,K127)="","",INDEX(Candidates!$A$1:$A$500,K127))</f>
        <v>Julian Gaidola</v>
      </c>
      <c r="B127" s="85" t="str">
        <f aca="false">IF(A127="","",INDEX(Candidates!$C$1:$C$500,K127))</f>
        <v>Back-End Developer</v>
      </c>
      <c r="C127" s="85" t="str">
        <f aca="false">IF(A127="","",INDEX(Candidates!$D$1:$D$500,K127))</f>
        <v>Software Developer</v>
      </c>
      <c r="D127" s="85" t="n">
        <f aca="false">IF(A127="","",L127)</f>
        <v>7</v>
      </c>
      <c r="E127" s="85" t="str">
        <f aca="false">IF(A127="","",INDEX($O$2:$O$8,L127))</f>
        <v>Final Interview</v>
      </c>
      <c r="F127" s="85" t="str">
        <f aca="false">IF(A127="","",IF(ISNUMBER(INDEX(Candidates!$A$1:$Z$500,K127,INDEX($P$2:$P$8,L127))),INDEX(Candidates!$A$1:$Z$500,K127,INDEX($P$2:$P$8,L127)),""))</f>
        <v/>
      </c>
      <c r="G127" s="85" t="n">
        <f aca="false">IF(A127="","",INDEX($Q$2:$Q$8,L127))</f>
        <v>8</v>
      </c>
      <c r="H127" s="85" t="str">
        <f aca="false">IF(A127="","",IF(F127="","Not yet scored",IF(F127&gt;=G127,"Pass","Fail")))</f>
        <v>Not yet scored</v>
      </c>
      <c r="I127" s="85" t="str">
        <f aca="false">IF(A127="","",INDEX(Candidates!$B$1:$B$500,K127))</f>
        <v>Send Technical Assessment</v>
      </c>
      <c r="K127" s="86" t="n">
        <f aca="false">INT((ROW()-2)/7)+2</f>
        <v>19</v>
      </c>
      <c r="L127" s="86" t="n">
        <f aca="false">MOD(ROW()-2,7)+1</f>
        <v>7</v>
      </c>
    </row>
    <row r="128" customFormat="false" ht="15" hidden="false" customHeight="false" outlineLevel="0" collapsed="false">
      <c r="A128" s="85" t="str">
        <f aca="false">IF(INDEX(Candidates!$A$1:$A$500,K128)="","",INDEX(Candidates!$A$1:$A$500,K128))</f>
        <v>Sophia Scott</v>
      </c>
      <c r="B128" s="85" t="str">
        <f aca="false">IF(A128="","",INDEX(Candidates!$C$1:$C$500,K128))</f>
        <v>Front-End Developer</v>
      </c>
      <c r="C128" s="85" t="str">
        <f aca="false">IF(A128="","",INDEX(Candidates!$D$1:$D$500,K128))</f>
        <v>Software Developer</v>
      </c>
      <c r="D128" s="85" t="n">
        <f aca="false">IF(A128="","",L128)</f>
        <v>1</v>
      </c>
      <c r="E128" s="85" t="str">
        <f aca="false">IF(A128="","",INDEX($O$2:$O$8,L128))</f>
        <v>Resume Review</v>
      </c>
      <c r="F128" s="85" t="n">
        <f aca="false">IF(A128="","",IF(ISNUMBER(INDEX(Candidates!$A$1:$Z$500,K128,INDEX($P$2:$P$8,L128))),INDEX(Candidates!$A$1:$Z$500,K128,INDEX($P$2:$P$8,L128)),""))</f>
        <v>8</v>
      </c>
      <c r="G128" s="85" t="n">
        <f aca="false">IF(A128="","",INDEX($Q$2:$Q$8,L128))</f>
        <v>5</v>
      </c>
      <c r="H128" s="85" t="str">
        <f aca="false">IF(A128="","",IF(F128="","Not yet scored",IF(F128&gt;=G128,"Pass","Fail")))</f>
        <v>Pass</v>
      </c>
      <c r="I128" s="85" t="str">
        <f aca="false">IF(A128="","",INDEX(Candidates!$B$1:$B$500,K128))</f>
        <v>Schedule Initial Meeting</v>
      </c>
      <c r="K128" s="86" t="n">
        <f aca="false">INT((ROW()-2)/7)+2</f>
        <v>20</v>
      </c>
      <c r="L128" s="86" t="n">
        <f aca="false">MOD(ROW()-2,7)+1</f>
        <v>1</v>
      </c>
    </row>
    <row r="129" customFormat="false" ht="15" hidden="false" customHeight="false" outlineLevel="0" collapsed="false">
      <c r="A129" s="85" t="str">
        <f aca="false">IF(INDEX(Candidates!$A$1:$A$500,K129)="","",INDEX(Candidates!$A$1:$A$500,K129))</f>
        <v>Sophia Scott</v>
      </c>
      <c r="B129" s="85" t="str">
        <f aca="false">IF(A129="","",INDEX(Candidates!$C$1:$C$500,K129))</f>
        <v>Front-End Developer</v>
      </c>
      <c r="C129" s="85" t="str">
        <f aca="false">IF(A129="","",INDEX(Candidates!$D$1:$D$500,K129))</f>
        <v>Software Developer</v>
      </c>
      <c r="D129" s="85" t="n">
        <f aca="false">IF(A129="","",L129)</f>
        <v>2</v>
      </c>
      <c r="E129" s="85" t="str">
        <f aca="false">IF(A129="","",INDEX($O$2:$O$8,L129))</f>
        <v>Tech Assessment</v>
      </c>
      <c r="F129" s="85" t="str">
        <f aca="false">IF(A129="","",IF(ISNUMBER(INDEX(Candidates!$A$1:$Z$500,K129,INDEX($P$2:$P$8,L129))),INDEX(Candidates!$A$1:$Z$500,K129,INDEX($P$2:$P$8,L129)),""))</f>
        <v/>
      </c>
      <c r="G129" s="85" t="n">
        <f aca="false">IF(A129="","",INDEX($Q$2:$Q$8,L129))</f>
        <v>7</v>
      </c>
      <c r="H129" s="85" t="str">
        <f aca="false">IF(A129="","",IF(F129="","Not yet scored",IF(F129&gt;=G129,"Pass","Fail")))</f>
        <v>Not yet scored</v>
      </c>
      <c r="I129" s="85" t="str">
        <f aca="false">IF(A129="","",INDEX(Candidates!$B$1:$B$500,K129))</f>
        <v>Schedule Initial Meeting</v>
      </c>
      <c r="K129" s="86" t="n">
        <f aca="false">INT((ROW()-2)/7)+2</f>
        <v>20</v>
      </c>
      <c r="L129" s="86" t="n">
        <f aca="false">MOD(ROW()-2,7)+1</f>
        <v>2</v>
      </c>
    </row>
    <row r="130" customFormat="false" ht="15" hidden="false" customHeight="false" outlineLevel="0" collapsed="false">
      <c r="A130" s="85" t="str">
        <f aca="false">IF(INDEX(Candidates!$A$1:$A$500,K130)="","",INDEX(Candidates!$A$1:$A$500,K130))</f>
        <v>Sophia Scott</v>
      </c>
      <c r="B130" s="85" t="str">
        <f aca="false">IF(A130="","",INDEX(Candidates!$C$1:$C$500,K130))</f>
        <v>Front-End Developer</v>
      </c>
      <c r="C130" s="85" t="str">
        <f aca="false">IF(A130="","",INDEX(Candidates!$D$1:$D$500,K130))</f>
        <v>Software Developer</v>
      </c>
      <c r="D130" s="85" t="n">
        <f aca="false">IF(A130="","",L130)</f>
        <v>3</v>
      </c>
      <c r="E130" s="85" t="str">
        <f aca="false">IF(A130="","",INDEX($O$2:$O$8,L130))</f>
        <v>Initial Meeting</v>
      </c>
      <c r="F130" s="85" t="str">
        <f aca="false">IF(A130="","",IF(ISNUMBER(INDEX(Candidates!$A$1:$Z$500,K130,INDEX($P$2:$P$8,L130))),INDEX(Candidates!$A$1:$Z$500,K130,INDEX($P$2:$P$8,L130)),""))</f>
        <v/>
      </c>
      <c r="G130" s="85" t="n">
        <f aca="false">IF(A130="","",INDEX($Q$2:$Q$8,L130))</f>
        <v>6</v>
      </c>
      <c r="H130" s="85" t="str">
        <f aca="false">IF(A130="","",IF(F130="","Not yet scored",IF(F130&gt;=G130,"Pass","Fail")))</f>
        <v>Not yet scored</v>
      </c>
      <c r="I130" s="85" t="str">
        <f aca="false">IF(A130="","",INDEX(Candidates!$B$1:$B$500,K130))</f>
        <v>Schedule Initial Meeting</v>
      </c>
      <c r="K130" s="86" t="n">
        <f aca="false">INT((ROW()-2)/7)+2</f>
        <v>20</v>
      </c>
      <c r="L130" s="86" t="n">
        <f aca="false">MOD(ROW()-2,7)+1</f>
        <v>3</v>
      </c>
    </row>
    <row r="131" customFormat="false" ht="15" hidden="false" customHeight="false" outlineLevel="0" collapsed="false">
      <c r="A131" s="85" t="str">
        <f aca="false">IF(INDEX(Candidates!$A$1:$A$500,K131)="","",INDEX(Candidates!$A$1:$A$500,K131))</f>
        <v>Sophia Scott</v>
      </c>
      <c r="B131" s="85" t="str">
        <f aca="false">IF(A131="","",INDEX(Candidates!$C$1:$C$500,K131))</f>
        <v>Front-End Developer</v>
      </c>
      <c r="C131" s="85" t="str">
        <f aca="false">IF(A131="","",INDEX(Candidates!$D$1:$D$500,K131))</f>
        <v>Software Developer</v>
      </c>
      <c r="D131" s="85" t="n">
        <f aca="false">IF(A131="","",L131)</f>
        <v>4</v>
      </c>
      <c r="E131" s="85" t="str">
        <f aca="false">IF(A131="","",INDEX($O$2:$O$8,L131))</f>
        <v>Portfolio</v>
      </c>
      <c r="F131" s="85" t="str">
        <f aca="false">IF(A131="","",IF(ISNUMBER(INDEX(Candidates!$A$1:$Z$500,K131,INDEX($P$2:$P$8,L131))),INDEX(Candidates!$A$1:$Z$500,K131,INDEX($P$2:$P$8,L131)),""))</f>
        <v/>
      </c>
      <c r="G131" s="85" t="n">
        <f aca="false">IF(A131="","",INDEX($Q$2:$Q$8,L131))</f>
        <v>7</v>
      </c>
      <c r="H131" s="85" t="str">
        <f aca="false">IF(A131="","",IF(F131="","Not yet scored",IF(F131&gt;=G131,"Pass","Fail")))</f>
        <v>Not yet scored</v>
      </c>
      <c r="I131" s="85" t="str">
        <f aca="false">IF(A131="","",INDEX(Candidates!$B$1:$B$500,K131))</f>
        <v>Schedule Initial Meeting</v>
      </c>
      <c r="K131" s="86" t="n">
        <f aca="false">INT((ROW()-2)/7)+2</f>
        <v>20</v>
      </c>
      <c r="L131" s="86" t="n">
        <f aca="false">MOD(ROW()-2,7)+1</f>
        <v>4</v>
      </c>
    </row>
    <row r="132" customFormat="false" ht="15" hidden="false" customHeight="false" outlineLevel="0" collapsed="false">
      <c r="A132" s="85" t="str">
        <f aca="false">IF(INDEX(Candidates!$A$1:$A$500,K132)="","",INDEX(Candidates!$A$1:$A$500,K132))</f>
        <v>Sophia Scott</v>
      </c>
      <c r="B132" s="85" t="str">
        <f aca="false">IF(A132="","",INDEX(Candidates!$C$1:$C$500,K132))</f>
        <v>Front-End Developer</v>
      </c>
      <c r="C132" s="85" t="str">
        <f aca="false">IF(A132="","",INDEX(Candidates!$D$1:$D$500,K132))</f>
        <v>Software Developer</v>
      </c>
      <c r="D132" s="85" t="n">
        <f aca="false">IF(A132="","",L132)</f>
        <v>5</v>
      </c>
      <c r="E132" s="85" t="str">
        <f aca="false">IF(A132="","",INDEX($O$2:$O$8,L132))</f>
        <v>Personality Assessment</v>
      </c>
      <c r="F132" s="85" t="str">
        <f aca="false">IF(A132="","",IF(ISNUMBER(INDEX(Candidates!$A$1:$Z$500,K132,INDEX($P$2:$P$8,L132))),INDEX(Candidates!$A$1:$Z$500,K132,INDEX($P$2:$P$8,L132)),""))</f>
        <v/>
      </c>
      <c r="G132" s="85" t="n">
        <f aca="false">IF(A132="","",INDEX($Q$2:$Q$8,L132))</f>
        <v>6</v>
      </c>
      <c r="H132" s="85" t="str">
        <f aca="false">IF(A132="","",IF(F132="","Not yet scored",IF(F132&gt;=G132,"Pass","Fail")))</f>
        <v>Not yet scored</v>
      </c>
      <c r="I132" s="85" t="str">
        <f aca="false">IF(A132="","",INDEX(Candidates!$B$1:$B$500,K132))</f>
        <v>Schedule Initial Meeting</v>
      </c>
      <c r="K132" s="86" t="n">
        <f aca="false">INT((ROW()-2)/7)+2</f>
        <v>20</v>
      </c>
      <c r="L132" s="86" t="n">
        <f aca="false">MOD(ROW()-2,7)+1</f>
        <v>5</v>
      </c>
    </row>
    <row r="133" customFormat="false" ht="15" hidden="false" customHeight="false" outlineLevel="0" collapsed="false">
      <c r="A133" s="85" t="str">
        <f aca="false">IF(INDEX(Candidates!$A$1:$A$500,K133)="","",INDEX(Candidates!$A$1:$A$500,K133))</f>
        <v>Sophia Scott</v>
      </c>
      <c r="B133" s="85" t="str">
        <f aca="false">IF(A133="","",INDEX(Candidates!$C$1:$C$500,K133))</f>
        <v>Front-End Developer</v>
      </c>
      <c r="C133" s="85" t="str">
        <f aca="false">IF(A133="","",INDEX(Candidates!$D$1:$D$500,K133))</f>
        <v>Software Developer</v>
      </c>
      <c r="D133" s="85" t="n">
        <f aca="false">IF(A133="","",L133)</f>
        <v>6</v>
      </c>
      <c r="E133" s="85" t="str">
        <f aca="false">IF(A133="","",INDEX($O$2:$O$8,L133))</f>
        <v>Technical Interview</v>
      </c>
      <c r="F133" s="85" t="str">
        <f aca="false">IF(A133="","",IF(ISNUMBER(INDEX(Candidates!$A$1:$Z$500,K133,INDEX($P$2:$P$8,L133))),INDEX(Candidates!$A$1:$Z$500,K133,INDEX($P$2:$P$8,L133)),""))</f>
        <v/>
      </c>
      <c r="G133" s="85" t="n">
        <f aca="false">IF(A133="","",INDEX($Q$2:$Q$8,L133))</f>
        <v>8</v>
      </c>
      <c r="H133" s="85" t="str">
        <f aca="false">IF(A133="","",IF(F133="","Not yet scored",IF(F133&gt;=G133,"Pass","Fail")))</f>
        <v>Not yet scored</v>
      </c>
      <c r="I133" s="85" t="str">
        <f aca="false">IF(A133="","",INDEX(Candidates!$B$1:$B$500,K133))</f>
        <v>Schedule Initial Meeting</v>
      </c>
      <c r="K133" s="86" t="n">
        <f aca="false">INT((ROW()-2)/7)+2</f>
        <v>20</v>
      </c>
      <c r="L133" s="86" t="n">
        <f aca="false">MOD(ROW()-2,7)+1</f>
        <v>6</v>
      </c>
    </row>
    <row r="134" customFormat="false" ht="15" hidden="false" customHeight="false" outlineLevel="0" collapsed="false">
      <c r="A134" s="85" t="str">
        <f aca="false">IF(INDEX(Candidates!$A$1:$A$500,K134)="","",INDEX(Candidates!$A$1:$A$500,K134))</f>
        <v>Sophia Scott</v>
      </c>
      <c r="B134" s="85" t="str">
        <f aca="false">IF(A134="","",INDEX(Candidates!$C$1:$C$500,K134))</f>
        <v>Front-End Developer</v>
      </c>
      <c r="C134" s="85" t="str">
        <f aca="false">IF(A134="","",INDEX(Candidates!$D$1:$D$500,K134))</f>
        <v>Software Developer</v>
      </c>
      <c r="D134" s="85" t="n">
        <f aca="false">IF(A134="","",L134)</f>
        <v>7</v>
      </c>
      <c r="E134" s="85" t="str">
        <f aca="false">IF(A134="","",INDEX($O$2:$O$8,L134))</f>
        <v>Final Interview</v>
      </c>
      <c r="F134" s="85" t="str">
        <f aca="false">IF(A134="","",IF(ISNUMBER(INDEX(Candidates!$A$1:$Z$500,K134,INDEX($P$2:$P$8,L134))),INDEX(Candidates!$A$1:$Z$500,K134,INDEX($P$2:$P$8,L134)),""))</f>
        <v/>
      </c>
      <c r="G134" s="85" t="n">
        <f aca="false">IF(A134="","",INDEX($Q$2:$Q$8,L134))</f>
        <v>8</v>
      </c>
      <c r="H134" s="85" t="str">
        <f aca="false">IF(A134="","",IF(F134="","Not yet scored",IF(F134&gt;=G134,"Pass","Fail")))</f>
        <v>Not yet scored</v>
      </c>
      <c r="I134" s="85" t="str">
        <f aca="false">IF(A134="","",INDEX(Candidates!$B$1:$B$500,K134))</f>
        <v>Schedule Initial Meeting</v>
      </c>
      <c r="K134" s="86" t="n">
        <f aca="false">INT((ROW()-2)/7)+2</f>
        <v>20</v>
      </c>
      <c r="L134" s="86" t="n">
        <f aca="false">MOD(ROW()-2,7)+1</f>
        <v>7</v>
      </c>
    </row>
    <row r="135" customFormat="false" ht="15" hidden="false" customHeight="false" outlineLevel="0" collapsed="false">
      <c r="A135" s="85" t="str">
        <f aca="false">IF(INDEX(Candidates!$A$1:$A$500,K135)="","",INDEX(Candidates!$A$1:$A$500,K135))</f>
        <v>Sneverous Sape</v>
      </c>
      <c r="B135" s="85" t="str">
        <f aca="false">IF(A135="","",INDEX(Candidates!$C$1:$C$500,K135))</f>
        <v>UI Designer</v>
      </c>
      <c r="C135" s="85" t="str">
        <f aca="false">IF(A135="","",INDEX(Candidates!$D$1:$D$500,K135))</f>
        <v>Graphic Designer</v>
      </c>
      <c r="D135" s="85" t="n">
        <f aca="false">IF(A135="","",L135)</f>
        <v>1</v>
      </c>
      <c r="E135" s="85" t="str">
        <f aca="false">IF(A135="","",INDEX($O$2:$O$8,L135))</f>
        <v>Resume Review</v>
      </c>
      <c r="F135" s="85" t="n">
        <f aca="false">IF(A135="","",IF(ISNUMBER(INDEX(Candidates!$A$1:$Z$500,K135,INDEX($P$2:$P$8,L135))),INDEX(Candidates!$A$1:$Z$500,K135,INDEX($P$2:$P$8,L135)),""))</f>
        <v>9</v>
      </c>
      <c r="G135" s="85" t="n">
        <f aca="false">IF(A135="","",INDEX($Q$2:$Q$8,L135))</f>
        <v>5</v>
      </c>
      <c r="H135" s="85" t="str">
        <f aca="false">IF(A135="","",IF(F135="","Not yet scored",IF(F135&gt;=G135,"Pass","Fail")))</f>
        <v>Pass</v>
      </c>
      <c r="I135" s="85" t="str">
        <f aca="false">IF(A135="","",INDEX(Candidates!$B$1:$B$500,K135))</f>
        <v>Schedule Initial Meeting</v>
      </c>
      <c r="K135" s="86" t="n">
        <f aca="false">INT((ROW()-2)/7)+2</f>
        <v>21</v>
      </c>
      <c r="L135" s="86" t="n">
        <f aca="false">MOD(ROW()-2,7)+1</f>
        <v>1</v>
      </c>
    </row>
    <row r="136" customFormat="false" ht="15" hidden="false" customHeight="false" outlineLevel="0" collapsed="false">
      <c r="A136" s="85" t="str">
        <f aca="false">IF(INDEX(Candidates!$A$1:$A$500,K136)="","",INDEX(Candidates!$A$1:$A$500,K136))</f>
        <v>Sneverous Sape</v>
      </c>
      <c r="B136" s="85" t="str">
        <f aca="false">IF(A136="","",INDEX(Candidates!$C$1:$C$500,K136))</f>
        <v>UI Designer</v>
      </c>
      <c r="C136" s="85" t="str">
        <f aca="false">IF(A136="","",INDEX(Candidates!$D$1:$D$500,K136))</f>
        <v>Graphic Designer</v>
      </c>
      <c r="D136" s="85" t="n">
        <f aca="false">IF(A136="","",L136)</f>
        <v>2</v>
      </c>
      <c r="E136" s="85" t="str">
        <f aca="false">IF(A136="","",INDEX($O$2:$O$8,L136))</f>
        <v>Tech Assessment</v>
      </c>
      <c r="F136" s="85" t="str">
        <f aca="false">IF(A136="","",IF(ISNUMBER(INDEX(Candidates!$A$1:$Z$500,K136,INDEX($P$2:$P$8,L136))),INDEX(Candidates!$A$1:$Z$500,K136,INDEX($P$2:$P$8,L136)),""))</f>
        <v/>
      </c>
      <c r="G136" s="85" t="n">
        <f aca="false">IF(A136="","",INDEX($Q$2:$Q$8,L136))</f>
        <v>7</v>
      </c>
      <c r="H136" s="85" t="str">
        <f aca="false">IF(A136="","",IF(F136="","Not yet scored",IF(F136&gt;=G136,"Pass","Fail")))</f>
        <v>Not yet scored</v>
      </c>
      <c r="I136" s="85" t="str">
        <f aca="false">IF(A136="","",INDEX(Candidates!$B$1:$B$500,K136))</f>
        <v>Schedule Initial Meeting</v>
      </c>
      <c r="K136" s="86" t="n">
        <f aca="false">INT((ROW()-2)/7)+2</f>
        <v>21</v>
      </c>
      <c r="L136" s="86" t="n">
        <f aca="false">MOD(ROW()-2,7)+1</f>
        <v>2</v>
      </c>
    </row>
    <row r="137" customFormat="false" ht="15" hidden="false" customHeight="false" outlineLevel="0" collapsed="false">
      <c r="A137" s="85" t="str">
        <f aca="false">IF(INDEX(Candidates!$A$1:$A$500,K137)="","",INDEX(Candidates!$A$1:$A$500,K137))</f>
        <v>Sneverous Sape</v>
      </c>
      <c r="B137" s="85" t="str">
        <f aca="false">IF(A137="","",INDEX(Candidates!$C$1:$C$500,K137))</f>
        <v>UI Designer</v>
      </c>
      <c r="C137" s="85" t="str">
        <f aca="false">IF(A137="","",INDEX(Candidates!$D$1:$D$500,K137))</f>
        <v>Graphic Designer</v>
      </c>
      <c r="D137" s="85" t="n">
        <f aca="false">IF(A137="","",L137)</f>
        <v>3</v>
      </c>
      <c r="E137" s="85" t="str">
        <f aca="false">IF(A137="","",INDEX($O$2:$O$8,L137))</f>
        <v>Initial Meeting</v>
      </c>
      <c r="F137" s="85" t="str">
        <f aca="false">IF(A137="","",IF(ISNUMBER(INDEX(Candidates!$A$1:$Z$500,K137,INDEX($P$2:$P$8,L137))),INDEX(Candidates!$A$1:$Z$500,K137,INDEX($P$2:$P$8,L137)),""))</f>
        <v/>
      </c>
      <c r="G137" s="85" t="n">
        <f aca="false">IF(A137="","",INDEX($Q$2:$Q$8,L137))</f>
        <v>6</v>
      </c>
      <c r="H137" s="85" t="str">
        <f aca="false">IF(A137="","",IF(F137="","Not yet scored",IF(F137&gt;=G137,"Pass","Fail")))</f>
        <v>Not yet scored</v>
      </c>
      <c r="I137" s="85" t="str">
        <f aca="false">IF(A137="","",INDEX(Candidates!$B$1:$B$500,K137))</f>
        <v>Schedule Initial Meeting</v>
      </c>
      <c r="K137" s="86" t="n">
        <f aca="false">INT((ROW()-2)/7)+2</f>
        <v>21</v>
      </c>
      <c r="L137" s="86" t="n">
        <f aca="false">MOD(ROW()-2,7)+1</f>
        <v>3</v>
      </c>
    </row>
    <row r="138" customFormat="false" ht="15" hidden="false" customHeight="false" outlineLevel="0" collapsed="false">
      <c r="A138" s="85" t="str">
        <f aca="false">IF(INDEX(Candidates!$A$1:$A$500,K138)="","",INDEX(Candidates!$A$1:$A$500,K138))</f>
        <v>Sneverous Sape</v>
      </c>
      <c r="B138" s="85" t="str">
        <f aca="false">IF(A138="","",INDEX(Candidates!$C$1:$C$500,K138))</f>
        <v>UI Designer</v>
      </c>
      <c r="C138" s="85" t="str">
        <f aca="false">IF(A138="","",INDEX(Candidates!$D$1:$D$500,K138))</f>
        <v>Graphic Designer</v>
      </c>
      <c r="D138" s="85" t="n">
        <f aca="false">IF(A138="","",L138)</f>
        <v>4</v>
      </c>
      <c r="E138" s="85" t="str">
        <f aca="false">IF(A138="","",INDEX($O$2:$O$8,L138))</f>
        <v>Portfolio</v>
      </c>
      <c r="F138" s="85" t="str">
        <f aca="false">IF(A138="","",IF(ISNUMBER(INDEX(Candidates!$A$1:$Z$500,K138,INDEX($P$2:$P$8,L138))),INDEX(Candidates!$A$1:$Z$500,K138,INDEX($P$2:$P$8,L138)),""))</f>
        <v/>
      </c>
      <c r="G138" s="85" t="n">
        <f aca="false">IF(A138="","",INDEX($Q$2:$Q$8,L138))</f>
        <v>7</v>
      </c>
      <c r="H138" s="85" t="str">
        <f aca="false">IF(A138="","",IF(F138="","Not yet scored",IF(F138&gt;=G138,"Pass","Fail")))</f>
        <v>Not yet scored</v>
      </c>
      <c r="I138" s="85" t="str">
        <f aca="false">IF(A138="","",INDEX(Candidates!$B$1:$B$500,K138))</f>
        <v>Schedule Initial Meeting</v>
      </c>
      <c r="K138" s="86" t="n">
        <f aca="false">INT((ROW()-2)/7)+2</f>
        <v>21</v>
      </c>
      <c r="L138" s="86" t="n">
        <f aca="false">MOD(ROW()-2,7)+1</f>
        <v>4</v>
      </c>
    </row>
    <row r="139" customFormat="false" ht="15" hidden="false" customHeight="false" outlineLevel="0" collapsed="false">
      <c r="A139" s="85" t="str">
        <f aca="false">IF(INDEX(Candidates!$A$1:$A$500,K139)="","",INDEX(Candidates!$A$1:$A$500,K139))</f>
        <v>Sneverous Sape</v>
      </c>
      <c r="B139" s="85" t="str">
        <f aca="false">IF(A139="","",INDEX(Candidates!$C$1:$C$500,K139))</f>
        <v>UI Designer</v>
      </c>
      <c r="C139" s="85" t="str">
        <f aca="false">IF(A139="","",INDEX(Candidates!$D$1:$D$500,K139))</f>
        <v>Graphic Designer</v>
      </c>
      <c r="D139" s="85" t="n">
        <f aca="false">IF(A139="","",L139)</f>
        <v>5</v>
      </c>
      <c r="E139" s="85" t="str">
        <f aca="false">IF(A139="","",INDEX($O$2:$O$8,L139))</f>
        <v>Personality Assessment</v>
      </c>
      <c r="F139" s="85" t="str">
        <f aca="false">IF(A139="","",IF(ISNUMBER(INDEX(Candidates!$A$1:$Z$500,K139,INDEX($P$2:$P$8,L139))),INDEX(Candidates!$A$1:$Z$500,K139,INDEX($P$2:$P$8,L139)),""))</f>
        <v/>
      </c>
      <c r="G139" s="85" t="n">
        <f aca="false">IF(A139="","",INDEX($Q$2:$Q$8,L139))</f>
        <v>6</v>
      </c>
      <c r="H139" s="85" t="str">
        <f aca="false">IF(A139="","",IF(F139="","Not yet scored",IF(F139&gt;=G139,"Pass","Fail")))</f>
        <v>Not yet scored</v>
      </c>
      <c r="I139" s="85" t="str">
        <f aca="false">IF(A139="","",INDEX(Candidates!$B$1:$B$500,K139))</f>
        <v>Schedule Initial Meeting</v>
      </c>
      <c r="K139" s="86" t="n">
        <f aca="false">INT((ROW()-2)/7)+2</f>
        <v>21</v>
      </c>
      <c r="L139" s="86" t="n">
        <f aca="false">MOD(ROW()-2,7)+1</f>
        <v>5</v>
      </c>
    </row>
    <row r="140" customFormat="false" ht="15" hidden="false" customHeight="false" outlineLevel="0" collapsed="false">
      <c r="A140" s="85" t="str">
        <f aca="false">IF(INDEX(Candidates!$A$1:$A$500,K140)="","",INDEX(Candidates!$A$1:$A$500,K140))</f>
        <v>Sneverous Sape</v>
      </c>
      <c r="B140" s="85" t="str">
        <f aca="false">IF(A140="","",INDEX(Candidates!$C$1:$C$500,K140))</f>
        <v>UI Designer</v>
      </c>
      <c r="C140" s="85" t="str">
        <f aca="false">IF(A140="","",INDEX(Candidates!$D$1:$D$500,K140))</f>
        <v>Graphic Designer</v>
      </c>
      <c r="D140" s="85" t="n">
        <f aca="false">IF(A140="","",L140)</f>
        <v>6</v>
      </c>
      <c r="E140" s="85" t="str">
        <f aca="false">IF(A140="","",INDEX($O$2:$O$8,L140))</f>
        <v>Technical Interview</v>
      </c>
      <c r="F140" s="85" t="str">
        <f aca="false">IF(A140="","",IF(ISNUMBER(INDEX(Candidates!$A$1:$Z$500,K140,INDEX($P$2:$P$8,L140))),INDEX(Candidates!$A$1:$Z$500,K140,INDEX($P$2:$P$8,L140)),""))</f>
        <v/>
      </c>
      <c r="G140" s="85" t="n">
        <f aca="false">IF(A140="","",INDEX($Q$2:$Q$8,L140))</f>
        <v>8</v>
      </c>
      <c r="H140" s="85" t="str">
        <f aca="false">IF(A140="","",IF(F140="","Not yet scored",IF(F140&gt;=G140,"Pass","Fail")))</f>
        <v>Not yet scored</v>
      </c>
      <c r="I140" s="85" t="str">
        <f aca="false">IF(A140="","",INDEX(Candidates!$B$1:$B$500,K140))</f>
        <v>Schedule Initial Meeting</v>
      </c>
      <c r="K140" s="86" t="n">
        <f aca="false">INT((ROW()-2)/7)+2</f>
        <v>21</v>
      </c>
      <c r="L140" s="86" t="n">
        <f aca="false">MOD(ROW()-2,7)+1</f>
        <v>6</v>
      </c>
    </row>
    <row r="141" customFormat="false" ht="15" hidden="false" customHeight="false" outlineLevel="0" collapsed="false">
      <c r="A141" s="85" t="str">
        <f aca="false">IF(INDEX(Candidates!$A$1:$A$500,K141)="","",INDEX(Candidates!$A$1:$A$500,K141))</f>
        <v>Sneverous Sape</v>
      </c>
      <c r="B141" s="85" t="str">
        <f aca="false">IF(A141="","",INDEX(Candidates!$C$1:$C$500,K141))</f>
        <v>UI Designer</v>
      </c>
      <c r="C141" s="85" t="str">
        <f aca="false">IF(A141="","",INDEX(Candidates!$D$1:$D$500,K141))</f>
        <v>Graphic Designer</v>
      </c>
      <c r="D141" s="85" t="n">
        <f aca="false">IF(A141="","",L141)</f>
        <v>7</v>
      </c>
      <c r="E141" s="85" t="str">
        <f aca="false">IF(A141="","",INDEX($O$2:$O$8,L141))</f>
        <v>Final Interview</v>
      </c>
      <c r="F141" s="85" t="str">
        <f aca="false">IF(A141="","",IF(ISNUMBER(INDEX(Candidates!$A$1:$Z$500,K141,INDEX($P$2:$P$8,L141))),INDEX(Candidates!$A$1:$Z$500,K141,INDEX($P$2:$P$8,L141)),""))</f>
        <v/>
      </c>
      <c r="G141" s="85" t="n">
        <f aca="false">IF(A141="","",INDEX($Q$2:$Q$8,L141))</f>
        <v>8</v>
      </c>
      <c r="H141" s="85" t="str">
        <f aca="false">IF(A141="","",IF(F141="","Not yet scored",IF(F141&gt;=G141,"Pass","Fail")))</f>
        <v>Not yet scored</v>
      </c>
      <c r="I141" s="85" t="str">
        <f aca="false">IF(A141="","",INDEX(Candidates!$B$1:$B$500,K141))</f>
        <v>Schedule Initial Meeting</v>
      </c>
      <c r="K141" s="86" t="n">
        <f aca="false">INT((ROW()-2)/7)+2</f>
        <v>21</v>
      </c>
      <c r="L141" s="86" t="n">
        <f aca="false">MOD(ROW()-2,7)+1</f>
        <v>7</v>
      </c>
    </row>
    <row r="142" customFormat="false" ht="15" hidden="false" customHeight="false" outlineLevel="0" collapsed="false">
      <c r="A142" s="85" t="str">
        <f aca="false">IF(INDEX(Candidates!$A$1:$A$500,K142)="","",INDEX(Candidates!$A$1:$A$500,K142))</f>
        <v>Leville Nongbottom</v>
      </c>
      <c r="B142" s="85" t="str">
        <f aca="false">IF(A142="","",INDEX(Candidates!$C$1:$C$500,K142))</f>
        <v>Business Operations Associate</v>
      </c>
      <c r="C142" s="85" t="str">
        <f aca="false">IF(A142="","",INDEX(Candidates!$D$1:$D$500,K142))</f>
        <v>Commercial Team</v>
      </c>
      <c r="D142" s="85" t="n">
        <f aca="false">IF(A142="","",L142)</f>
        <v>1</v>
      </c>
      <c r="E142" s="85" t="str">
        <f aca="false">IF(A142="","",INDEX($O$2:$O$8,L142))</f>
        <v>Resume Review</v>
      </c>
      <c r="F142" s="85" t="n">
        <f aca="false">IF(A142="","",IF(ISNUMBER(INDEX(Candidates!$A$1:$Z$500,K142,INDEX($P$2:$P$8,L142))),INDEX(Candidates!$A$1:$Z$500,K142,INDEX($P$2:$P$8,L142)),""))</f>
        <v>10</v>
      </c>
      <c r="G142" s="85" t="n">
        <f aca="false">IF(A142="","",INDEX($Q$2:$Q$8,L142))</f>
        <v>5</v>
      </c>
      <c r="H142" s="85" t="str">
        <f aca="false">IF(A142="","",IF(F142="","Not yet scored",IF(F142&gt;=G142,"Pass","Fail")))</f>
        <v>Pass</v>
      </c>
      <c r="I142" s="85" t="str">
        <f aca="false">IF(A142="","",INDEX(Candidates!$B$1:$B$500,K142))</f>
        <v>Schedule Initial Meeting</v>
      </c>
      <c r="K142" s="86" t="n">
        <f aca="false">INT((ROW()-2)/7)+2</f>
        <v>22</v>
      </c>
      <c r="L142" s="86" t="n">
        <f aca="false">MOD(ROW()-2,7)+1</f>
        <v>1</v>
      </c>
    </row>
    <row r="143" customFormat="false" ht="15" hidden="false" customHeight="false" outlineLevel="0" collapsed="false">
      <c r="A143" s="85" t="str">
        <f aca="false">IF(INDEX(Candidates!$A$1:$A$500,K143)="","",INDEX(Candidates!$A$1:$A$500,K143))</f>
        <v>Leville Nongbottom</v>
      </c>
      <c r="B143" s="85" t="str">
        <f aca="false">IF(A143="","",INDEX(Candidates!$C$1:$C$500,K143))</f>
        <v>Business Operations Associate</v>
      </c>
      <c r="C143" s="85" t="str">
        <f aca="false">IF(A143="","",INDEX(Candidates!$D$1:$D$500,K143))</f>
        <v>Commercial Team</v>
      </c>
      <c r="D143" s="85" t="n">
        <f aca="false">IF(A143="","",L143)</f>
        <v>2</v>
      </c>
      <c r="E143" s="85" t="str">
        <f aca="false">IF(A143="","",INDEX($O$2:$O$8,L143))</f>
        <v>Tech Assessment</v>
      </c>
      <c r="F143" s="85" t="str">
        <f aca="false">IF(A143="","",IF(ISNUMBER(INDEX(Candidates!$A$1:$Z$500,K143,INDEX($P$2:$P$8,L143))),INDEX(Candidates!$A$1:$Z$500,K143,INDEX($P$2:$P$8,L143)),""))</f>
        <v/>
      </c>
      <c r="G143" s="85" t="n">
        <f aca="false">IF(A143="","",INDEX($Q$2:$Q$8,L143))</f>
        <v>7</v>
      </c>
      <c r="H143" s="85" t="str">
        <f aca="false">IF(A143="","",IF(F143="","Not yet scored",IF(F143&gt;=G143,"Pass","Fail")))</f>
        <v>Not yet scored</v>
      </c>
      <c r="I143" s="85" t="str">
        <f aca="false">IF(A143="","",INDEX(Candidates!$B$1:$B$500,K143))</f>
        <v>Schedule Initial Meeting</v>
      </c>
      <c r="K143" s="86" t="n">
        <f aca="false">INT((ROW()-2)/7)+2</f>
        <v>22</v>
      </c>
      <c r="L143" s="86" t="n">
        <f aca="false">MOD(ROW()-2,7)+1</f>
        <v>2</v>
      </c>
    </row>
    <row r="144" customFormat="false" ht="15" hidden="false" customHeight="false" outlineLevel="0" collapsed="false">
      <c r="A144" s="85" t="str">
        <f aca="false">IF(INDEX(Candidates!$A$1:$A$500,K144)="","",INDEX(Candidates!$A$1:$A$500,K144))</f>
        <v>Leville Nongbottom</v>
      </c>
      <c r="B144" s="85" t="str">
        <f aca="false">IF(A144="","",INDEX(Candidates!$C$1:$C$500,K144))</f>
        <v>Business Operations Associate</v>
      </c>
      <c r="C144" s="85" t="str">
        <f aca="false">IF(A144="","",INDEX(Candidates!$D$1:$D$500,K144))</f>
        <v>Commercial Team</v>
      </c>
      <c r="D144" s="85" t="n">
        <f aca="false">IF(A144="","",L144)</f>
        <v>3</v>
      </c>
      <c r="E144" s="85" t="str">
        <f aca="false">IF(A144="","",INDEX($O$2:$O$8,L144))</f>
        <v>Initial Meeting</v>
      </c>
      <c r="F144" s="85" t="str">
        <f aca="false">IF(A144="","",IF(ISNUMBER(INDEX(Candidates!$A$1:$Z$500,K144,INDEX($P$2:$P$8,L144))),INDEX(Candidates!$A$1:$Z$500,K144,INDEX($P$2:$P$8,L144)),""))</f>
        <v/>
      </c>
      <c r="G144" s="85" t="n">
        <f aca="false">IF(A144="","",INDEX($Q$2:$Q$8,L144))</f>
        <v>6</v>
      </c>
      <c r="H144" s="85" t="str">
        <f aca="false">IF(A144="","",IF(F144="","Not yet scored",IF(F144&gt;=G144,"Pass","Fail")))</f>
        <v>Not yet scored</v>
      </c>
      <c r="I144" s="85" t="str">
        <f aca="false">IF(A144="","",INDEX(Candidates!$B$1:$B$500,K144))</f>
        <v>Schedule Initial Meeting</v>
      </c>
      <c r="K144" s="86" t="n">
        <f aca="false">INT((ROW()-2)/7)+2</f>
        <v>22</v>
      </c>
      <c r="L144" s="86" t="n">
        <f aca="false">MOD(ROW()-2,7)+1</f>
        <v>3</v>
      </c>
    </row>
    <row r="145" customFormat="false" ht="15" hidden="false" customHeight="false" outlineLevel="0" collapsed="false">
      <c r="A145" s="85" t="str">
        <f aca="false">IF(INDEX(Candidates!$A$1:$A$500,K145)="","",INDEX(Candidates!$A$1:$A$500,K145))</f>
        <v>Leville Nongbottom</v>
      </c>
      <c r="B145" s="85" t="str">
        <f aca="false">IF(A145="","",INDEX(Candidates!$C$1:$C$500,K145))</f>
        <v>Business Operations Associate</v>
      </c>
      <c r="C145" s="85" t="str">
        <f aca="false">IF(A145="","",INDEX(Candidates!$D$1:$D$500,K145))</f>
        <v>Commercial Team</v>
      </c>
      <c r="D145" s="85" t="n">
        <f aca="false">IF(A145="","",L145)</f>
        <v>4</v>
      </c>
      <c r="E145" s="85" t="str">
        <f aca="false">IF(A145="","",INDEX($O$2:$O$8,L145))</f>
        <v>Portfolio</v>
      </c>
      <c r="F145" s="85" t="str">
        <f aca="false">IF(A145="","",IF(ISNUMBER(INDEX(Candidates!$A$1:$Z$500,K145,INDEX($P$2:$P$8,L145))),INDEX(Candidates!$A$1:$Z$500,K145,INDEX($P$2:$P$8,L145)),""))</f>
        <v/>
      </c>
      <c r="G145" s="85" t="n">
        <f aca="false">IF(A145="","",INDEX($Q$2:$Q$8,L145))</f>
        <v>7</v>
      </c>
      <c r="H145" s="85" t="str">
        <f aca="false">IF(A145="","",IF(F145="","Not yet scored",IF(F145&gt;=G145,"Pass","Fail")))</f>
        <v>Not yet scored</v>
      </c>
      <c r="I145" s="85" t="str">
        <f aca="false">IF(A145="","",INDEX(Candidates!$B$1:$B$500,K145))</f>
        <v>Schedule Initial Meeting</v>
      </c>
      <c r="K145" s="86" t="n">
        <f aca="false">INT((ROW()-2)/7)+2</f>
        <v>22</v>
      </c>
      <c r="L145" s="86" t="n">
        <f aca="false">MOD(ROW()-2,7)+1</f>
        <v>4</v>
      </c>
    </row>
    <row r="146" customFormat="false" ht="15" hidden="false" customHeight="false" outlineLevel="0" collapsed="false">
      <c r="A146" s="85" t="str">
        <f aca="false">IF(INDEX(Candidates!$A$1:$A$500,K146)="","",INDEX(Candidates!$A$1:$A$500,K146))</f>
        <v>Leville Nongbottom</v>
      </c>
      <c r="B146" s="85" t="str">
        <f aca="false">IF(A146="","",INDEX(Candidates!$C$1:$C$500,K146))</f>
        <v>Business Operations Associate</v>
      </c>
      <c r="C146" s="85" t="str">
        <f aca="false">IF(A146="","",INDEX(Candidates!$D$1:$D$500,K146))</f>
        <v>Commercial Team</v>
      </c>
      <c r="D146" s="85" t="n">
        <f aca="false">IF(A146="","",L146)</f>
        <v>5</v>
      </c>
      <c r="E146" s="85" t="str">
        <f aca="false">IF(A146="","",INDEX($O$2:$O$8,L146))</f>
        <v>Personality Assessment</v>
      </c>
      <c r="F146" s="85" t="str">
        <f aca="false">IF(A146="","",IF(ISNUMBER(INDEX(Candidates!$A$1:$Z$500,K146,INDEX($P$2:$P$8,L146))),INDEX(Candidates!$A$1:$Z$500,K146,INDEX($P$2:$P$8,L146)),""))</f>
        <v/>
      </c>
      <c r="G146" s="85" t="n">
        <f aca="false">IF(A146="","",INDEX($Q$2:$Q$8,L146))</f>
        <v>6</v>
      </c>
      <c r="H146" s="85" t="str">
        <f aca="false">IF(A146="","",IF(F146="","Not yet scored",IF(F146&gt;=G146,"Pass","Fail")))</f>
        <v>Not yet scored</v>
      </c>
      <c r="I146" s="85" t="str">
        <f aca="false">IF(A146="","",INDEX(Candidates!$B$1:$B$500,K146))</f>
        <v>Schedule Initial Meeting</v>
      </c>
      <c r="K146" s="86" t="n">
        <f aca="false">INT((ROW()-2)/7)+2</f>
        <v>22</v>
      </c>
      <c r="L146" s="86" t="n">
        <f aca="false">MOD(ROW()-2,7)+1</f>
        <v>5</v>
      </c>
    </row>
    <row r="147" customFormat="false" ht="15" hidden="false" customHeight="false" outlineLevel="0" collapsed="false">
      <c r="A147" s="85" t="str">
        <f aca="false">IF(INDEX(Candidates!$A$1:$A$500,K147)="","",INDEX(Candidates!$A$1:$A$500,K147))</f>
        <v>Leville Nongbottom</v>
      </c>
      <c r="B147" s="85" t="str">
        <f aca="false">IF(A147="","",INDEX(Candidates!$C$1:$C$500,K147))</f>
        <v>Business Operations Associate</v>
      </c>
      <c r="C147" s="85" t="str">
        <f aca="false">IF(A147="","",INDEX(Candidates!$D$1:$D$500,K147))</f>
        <v>Commercial Team</v>
      </c>
      <c r="D147" s="85" t="n">
        <f aca="false">IF(A147="","",L147)</f>
        <v>6</v>
      </c>
      <c r="E147" s="85" t="str">
        <f aca="false">IF(A147="","",INDEX($O$2:$O$8,L147))</f>
        <v>Technical Interview</v>
      </c>
      <c r="F147" s="85" t="str">
        <f aca="false">IF(A147="","",IF(ISNUMBER(INDEX(Candidates!$A$1:$Z$500,K147,INDEX($P$2:$P$8,L147))),INDEX(Candidates!$A$1:$Z$500,K147,INDEX($P$2:$P$8,L147)),""))</f>
        <v/>
      </c>
      <c r="G147" s="85" t="n">
        <f aca="false">IF(A147="","",INDEX($Q$2:$Q$8,L147))</f>
        <v>8</v>
      </c>
      <c r="H147" s="85" t="str">
        <f aca="false">IF(A147="","",IF(F147="","Not yet scored",IF(F147&gt;=G147,"Pass","Fail")))</f>
        <v>Not yet scored</v>
      </c>
      <c r="I147" s="85" t="str">
        <f aca="false">IF(A147="","",INDEX(Candidates!$B$1:$B$500,K147))</f>
        <v>Schedule Initial Meeting</v>
      </c>
      <c r="K147" s="86" t="n">
        <f aca="false">INT((ROW()-2)/7)+2</f>
        <v>22</v>
      </c>
      <c r="L147" s="86" t="n">
        <f aca="false">MOD(ROW()-2,7)+1</f>
        <v>6</v>
      </c>
    </row>
    <row r="148" customFormat="false" ht="15" hidden="false" customHeight="false" outlineLevel="0" collapsed="false">
      <c r="A148" s="85" t="str">
        <f aca="false">IF(INDEX(Candidates!$A$1:$A$500,K148)="","",INDEX(Candidates!$A$1:$A$500,K148))</f>
        <v>Leville Nongbottom</v>
      </c>
      <c r="B148" s="85" t="str">
        <f aca="false">IF(A148="","",INDEX(Candidates!$C$1:$C$500,K148))</f>
        <v>Business Operations Associate</v>
      </c>
      <c r="C148" s="85" t="str">
        <f aca="false">IF(A148="","",INDEX(Candidates!$D$1:$D$500,K148))</f>
        <v>Commercial Team</v>
      </c>
      <c r="D148" s="85" t="n">
        <f aca="false">IF(A148="","",L148)</f>
        <v>7</v>
      </c>
      <c r="E148" s="85" t="str">
        <f aca="false">IF(A148="","",INDEX($O$2:$O$8,L148))</f>
        <v>Final Interview</v>
      </c>
      <c r="F148" s="85" t="str">
        <f aca="false">IF(A148="","",IF(ISNUMBER(INDEX(Candidates!$A$1:$Z$500,K148,INDEX($P$2:$P$8,L148))),INDEX(Candidates!$A$1:$Z$500,K148,INDEX($P$2:$P$8,L148)),""))</f>
        <v/>
      </c>
      <c r="G148" s="85" t="n">
        <f aca="false">IF(A148="","",INDEX($Q$2:$Q$8,L148))</f>
        <v>8</v>
      </c>
      <c r="H148" s="85" t="str">
        <f aca="false">IF(A148="","",IF(F148="","Not yet scored",IF(F148&gt;=G148,"Pass","Fail")))</f>
        <v>Not yet scored</v>
      </c>
      <c r="I148" s="85" t="str">
        <f aca="false">IF(A148="","",INDEX(Candidates!$B$1:$B$500,K148))</f>
        <v>Schedule Initial Meeting</v>
      </c>
      <c r="K148" s="86" t="n">
        <f aca="false">INT((ROW()-2)/7)+2</f>
        <v>22</v>
      </c>
      <c r="L148" s="86" t="n">
        <f aca="false">MOD(ROW()-2,7)+1</f>
        <v>7</v>
      </c>
    </row>
    <row r="149" customFormat="false" ht="15" hidden="false" customHeight="false" outlineLevel="0" collapsed="false">
      <c r="A149" s="85" t="str">
        <f aca="false">IF(INDEX(Candidates!$A$1:$A$500,K149)="","",INDEX(Candidates!$A$1:$A$500,K149))</f>
        <v>Parry Hotter</v>
      </c>
      <c r="B149" s="85" t="str">
        <f aca="false">IF(A149="","",INDEX(Candidates!$C$1:$C$500,K149))</f>
        <v>Infrastructure Developer</v>
      </c>
      <c r="C149" s="85" t="str">
        <f aca="false">IF(A149="","",INDEX(Candidates!$D$1:$D$500,K149))</f>
        <v>Software Developer</v>
      </c>
      <c r="D149" s="85" t="n">
        <f aca="false">IF(A149="","",L149)</f>
        <v>1</v>
      </c>
      <c r="E149" s="85" t="str">
        <f aca="false">IF(A149="","",INDEX($O$2:$O$8,L149))</f>
        <v>Resume Review</v>
      </c>
      <c r="F149" s="85" t="n">
        <f aca="false">IF(A149="","",IF(ISNUMBER(INDEX(Candidates!$A$1:$Z$500,K149,INDEX($P$2:$P$8,L149))),INDEX(Candidates!$A$1:$Z$500,K149,INDEX($P$2:$P$8,L149)),""))</f>
        <v>7</v>
      </c>
      <c r="G149" s="85" t="n">
        <f aca="false">IF(A149="","",INDEX($Q$2:$Q$8,L149))</f>
        <v>5</v>
      </c>
      <c r="H149" s="85" t="str">
        <f aca="false">IF(A149="","",IF(F149="","Not yet scored",IF(F149&gt;=G149,"Pass","Fail")))</f>
        <v>Pass</v>
      </c>
      <c r="I149" s="85" t="str">
        <f aca="false">IF(A149="","",INDEX(Candidates!$B$1:$B$500,K149))</f>
        <v>Send Technical Assessment</v>
      </c>
      <c r="K149" s="86" t="n">
        <f aca="false">INT((ROW()-2)/7)+2</f>
        <v>23</v>
      </c>
      <c r="L149" s="86" t="n">
        <f aca="false">MOD(ROW()-2,7)+1</f>
        <v>1</v>
      </c>
    </row>
    <row r="150" customFormat="false" ht="15" hidden="false" customHeight="false" outlineLevel="0" collapsed="false">
      <c r="A150" s="85" t="str">
        <f aca="false">IF(INDEX(Candidates!$A$1:$A$500,K150)="","",INDEX(Candidates!$A$1:$A$500,K150))</f>
        <v>Parry Hotter</v>
      </c>
      <c r="B150" s="85" t="str">
        <f aca="false">IF(A150="","",INDEX(Candidates!$C$1:$C$500,K150))</f>
        <v>Infrastructure Developer</v>
      </c>
      <c r="C150" s="85" t="str">
        <f aca="false">IF(A150="","",INDEX(Candidates!$D$1:$D$500,K150))</f>
        <v>Software Developer</v>
      </c>
      <c r="D150" s="85" t="n">
        <f aca="false">IF(A150="","",L150)</f>
        <v>2</v>
      </c>
      <c r="E150" s="85" t="str">
        <f aca="false">IF(A150="","",INDEX($O$2:$O$8,L150))</f>
        <v>Tech Assessment</v>
      </c>
      <c r="F150" s="85" t="str">
        <f aca="false">IF(A150="","",IF(ISNUMBER(INDEX(Candidates!$A$1:$Z$500,K150,INDEX($P$2:$P$8,L150))),INDEX(Candidates!$A$1:$Z$500,K150,INDEX($P$2:$P$8,L150)),""))</f>
        <v/>
      </c>
      <c r="G150" s="85" t="n">
        <f aca="false">IF(A150="","",INDEX($Q$2:$Q$8,L150))</f>
        <v>7</v>
      </c>
      <c r="H150" s="85" t="str">
        <f aca="false">IF(A150="","",IF(F150="","Not yet scored",IF(F150&gt;=G150,"Pass","Fail")))</f>
        <v>Not yet scored</v>
      </c>
      <c r="I150" s="85" t="str">
        <f aca="false">IF(A150="","",INDEX(Candidates!$B$1:$B$500,K150))</f>
        <v>Send Technical Assessment</v>
      </c>
      <c r="K150" s="86" t="n">
        <f aca="false">INT((ROW()-2)/7)+2</f>
        <v>23</v>
      </c>
      <c r="L150" s="86" t="n">
        <f aca="false">MOD(ROW()-2,7)+1</f>
        <v>2</v>
      </c>
    </row>
    <row r="151" customFormat="false" ht="15" hidden="false" customHeight="false" outlineLevel="0" collapsed="false">
      <c r="A151" s="85" t="str">
        <f aca="false">IF(INDEX(Candidates!$A$1:$A$500,K151)="","",INDEX(Candidates!$A$1:$A$500,K151))</f>
        <v>Parry Hotter</v>
      </c>
      <c r="B151" s="85" t="str">
        <f aca="false">IF(A151="","",INDEX(Candidates!$C$1:$C$500,K151))</f>
        <v>Infrastructure Developer</v>
      </c>
      <c r="C151" s="85" t="str">
        <f aca="false">IF(A151="","",INDEX(Candidates!$D$1:$D$500,K151))</f>
        <v>Software Developer</v>
      </c>
      <c r="D151" s="85" t="n">
        <f aca="false">IF(A151="","",L151)</f>
        <v>3</v>
      </c>
      <c r="E151" s="85" t="str">
        <f aca="false">IF(A151="","",INDEX($O$2:$O$8,L151))</f>
        <v>Initial Meeting</v>
      </c>
      <c r="F151" s="85" t="str">
        <f aca="false">IF(A151="","",IF(ISNUMBER(INDEX(Candidates!$A$1:$Z$500,K151,INDEX($P$2:$P$8,L151))),INDEX(Candidates!$A$1:$Z$500,K151,INDEX($P$2:$P$8,L151)),""))</f>
        <v/>
      </c>
      <c r="G151" s="85" t="n">
        <f aca="false">IF(A151="","",INDEX($Q$2:$Q$8,L151))</f>
        <v>6</v>
      </c>
      <c r="H151" s="85" t="str">
        <f aca="false">IF(A151="","",IF(F151="","Not yet scored",IF(F151&gt;=G151,"Pass","Fail")))</f>
        <v>Not yet scored</v>
      </c>
      <c r="I151" s="85" t="str">
        <f aca="false">IF(A151="","",INDEX(Candidates!$B$1:$B$500,K151))</f>
        <v>Send Technical Assessment</v>
      </c>
      <c r="K151" s="86" t="n">
        <f aca="false">INT((ROW()-2)/7)+2</f>
        <v>23</v>
      </c>
      <c r="L151" s="86" t="n">
        <f aca="false">MOD(ROW()-2,7)+1</f>
        <v>3</v>
      </c>
    </row>
    <row r="152" customFormat="false" ht="15" hidden="false" customHeight="false" outlineLevel="0" collapsed="false">
      <c r="A152" s="85" t="str">
        <f aca="false">IF(INDEX(Candidates!$A$1:$A$500,K152)="","",INDEX(Candidates!$A$1:$A$500,K152))</f>
        <v>Parry Hotter</v>
      </c>
      <c r="B152" s="85" t="str">
        <f aca="false">IF(A152="","",INDEX(Candidates!$C$1:$C$500,K152))</f>
        <v>Infrastructure Developer</v>
      </c>
      <c r="C152" s="85" t="str">
        <f aca="false">IF(A152="","",INDEX(Candidates!$D$1:$D$500,K152))</f>
        <v>Software Developer</v>
      </c>
      <c r="D152" s="85" t="n">
        <f aca="false">IF(A152="","",L152)</f>
        <v>4</v>
      </c>
      <c r="E152" s="85" t="str">
        <f aca="false">IF(A152="","",INDEX($O$2:$O$8,L152))</f>
        <v>Portfolio</v>
      </c>
      <c r="F152" s="85" t="str">
        <f aca="false">IF(A152="","",IF(ISNUMBER(INDEX(Candidates!$A$1:$Z$500,K152,INDEX($P$2:$P$8,L152))),INDEX(Candidates!$A$1:$Z$500,K152,INDEX($P$2:$P$8,L152)),""))</f>
        <v/>
      </c>
      <c r="G152" s="85" t="n">
        <f aca="false">IF(A152="","",INDEX($Q$2:$Q$8,L152))</f>
        <v>7</v>
      </c>
      <c r="H152" s="85" t="str">
        <f aca="false">IF(A152="","",IF(F152="","Not yet scored",IF(F152&gt;=G152,"Pass","Fail")))</f>
        <v>Not yet scored</v>
      </c>
      <c r="I152" s="85" t="str">
        <f aca="false">IF(A152="","",INDEX(Candidates!$B$1:$B$500,K152))</f>
        <v>Send Technical Assessment</v>
      </c>
      <c r="K152" s="86" t="n">
        <f aca="false">INT((ROW()-2)/7)+2</f>
        <v>23</v>
      </c>
      <c r="L152" s="86" t="n">
        <f aca="false">MOD(ROW()-2,7)+1</f>
        <v>4</v>
      </c>
    </row>
    <row r="153" customFormat="false" ht="15" hidden="false" customHeight="false" outlineLevel="0" collapsed="false">
      <c r="A153" s="85" t="str">
        <f aca="false">IF(INDEX(Candidates!$A$1:$A$500,K153)="","",INDEX(Candidates!$A$1:$A$500,K153))</f>
        <v>Parry Hotter</v>
      </c>
      <c r="B153" s="85" t="str">
        <f aca="false">IF(A153="","",INDEX(Candidates!$C$1:$C$500,K153))</f>
        <v>Infrastructure Developer</v>
      </c>
      <c r="C153" s="85" t="str">
        <f aca="false">IF(A153="","",INDEX(Candidates!$D$1:$D$500,K153))</f>
        <v>Software Developer</v>
      </c>
      <c r="D153" s="85" t="n">
        <f aca="false">IF(A153="","",L153)</f>
        <v>5</v>
      </c>
      <c r="E153" s="85" t="str">
        <f aca="false">IF(A153="","",INDEX($O$2:$O$8,L153))</f>
        <v>Personality Assessment</v>
      </c>
      <c r="F153" s="85" t="str">
        <f aca="false">IF(A153="","",IF(ISNUMBER(INDEX(Candidates!$A$1:$Z$500,K153,INDEX($P$2:$P$8,L153))),INDEX(Candidates!$A$1:$Z$500,K153,INDEX($P$2:$P$8,L153)),""))</f>
        <v/>
      </c>
      <c r="G153" s="85" t="n">
        <f aca="false">IF(A153="","",INDEX($Q$2:$Q$8,L153))</f>
        <v>6</v>
      </c>
      <c r="H153" s="85" t="str">
        <f aca="false">IF(A153="","",IF(F153="","Not yet scored",IF(F153&gt;=G153,"Pass","Fail")))</f>
        <v>Not yet scored</v>
      </c>
      <c r="I153" s="85" t="str">
        <f aca="false">IF(A153="","",INDEX(Candidates!$B$1:$B$500,K153))</f>
        <v>Send Technical Assessment</v>
      </c>
      <c r="K153" s="86" t="n">
        <f aca="false">INT((ROW()-2)/7)+2</f>
        <v>23</v>
      </c>
      <c r="L153" s="86" t="n">
        <f aca="false">MOD(ROW()-2,7)+1</f>
        <v>5</v>
      </c>
    </row>
    <row r="154" customFormat="false" ht="15" hidden="false" customHeight="false" outlineLevel="0" collapsed="false">
      <c r="A154" s="85" t="str">
        <f aca="false">IF(INDEX(Candidates!$A$1:$A$500,K154)="","",INDEX(Candidates!$A$1:$A$500,K154))</f>
        <v>Parry Hotter</v>
      </c>
      <c r="B154" s="85" t="str">
        <f aca="false">IF(A154="","",INDEX(Candidates!$C$1:$C$500,K154))</f>
        <v>Infrastructure Developer</v>
      </c>
      <c r="C154" s="85" t="str">
        <f aca="false">IF(A154="","",INDEX(Candidates!$D$1:$D$500,K154))</f>
        <v>Software Developer</v>
      </c>
      <c r="D154" s="85" t="n">
        <f aca="false">IF(A154="","",L154)</f>
        <v>6</v>
      </c>
      <c r="E154" s="85" t="str">
        <f aca="false">IF(A154="","",INDEX($O$2:$O$8,L154))</f>
        <v>Technical Interview</v>
      </c>
      <c r="F154" s="85" t="str">
        <f aca="false">IF(A154="","",IF(ISNUMBER(INDEX(Candidates!$A$1:$Z$500,K154,INDEX($P$2:$P$8,L154))),INDEX(Candidates!$A$1:$Z$500,K154,INDEX($P$2:$P$8,L154)),""))</f>
        <v/>
      </c>
      <c r="G154" s="85" t="n">
        <f aca="false">IF(A154="","",INDEX($Q$2:$Q$8,L154))</f>
        <v>8</v>
      </c>
      <c r="H154" s="85" t="str">
        <f aca="false">IF(A154="","",IF(F154="","Not yet scored",IF(F154&gt;=G154,"Pass","Fail")))</f>
        <v>Not yet scored</v>
      </c>
      <c r="I154" s="85" t="str">
        <f aca="false">IF(A154="","",INDEX(Candidates!$B$1:$B$500,K154))</f>
        <v>Send Technical Assessment</v>
      </c>
      <c r="K154" s="86" t="n">
        <f aca="false">INT((ROW()-2)/7)+2</f>
        <v>23</v>
      </c>
      <c r="L154" s="86" t="n">
        <f aca="false">MOD(ROW()-2,7)+1</f>
        <v>6</v>
      </c>
    </row>
    <row r="155" customFormat="false" ht="15" hidden="false" customHeight="false" outlineLevel="0" collapsed="false">
      <c r="A155" s="85" t="str">
        <f aca="false">IF(INDEX(Candidates!$A$1:$A$500,K155)="","",INDEX(Candidates!$A$1:$A$500,K155))</f>
        <v>Parry Hotter</v>
      </c>
      <c r="B155" s="85" t="str">
        <f aca="false">IF(A155="","",INDEX(Candidates!$C$1:$C$500,K155))</f>
        <v>Infrastructure Developer</v>
      </c>
      <c r="C155" s="85" t="str">
        <f aca="false">IF(A155="","",INDEX(Candidates!$D$1:$D$500,K155))</f>
        <v>Software Developer</v>
      </c>
      <c r="D155" s="85" t="n">
        <f aca="false">IF(A155="","",L155)</f>
        <v>7</v>
      </c>
      <c r="E155" s="85" t="str">
        <f aca="false">IF(A155="","",INDEX($O$2:$O$8,L155))</f>
        <v>Final Interview</v>
      </c>
      <c r="F155" s="85" t="str">
        <f aca="false">IF(A155="","",IF(ISNUMBER(INDEX(Candidates!$A$1:$Z$500,K155,INDEX($P$2:$P$8,L155))),INDEX(Candidates!$A$1:$Z$500,K155,INDEX($P$2:$P$8,L155)),""))</f>
        <v/>
      </c>
      <c r="G155" s="85" t="n">
        <f aca="false">IF(A155="","",INDEX($Q$2:$Q$8,L155))</f>
        <v>8</v>
      </c>
      <c r="H155" s="85" t="str">
        <f aca="false">IF(A155="","",IF(F155="","Not yet scored",IF(F155&gt;=G155,"Pass","Fail")))</f>
        <v>Not yet scored</v>
      </c>
      <c r="I155" s="85" t="str">
        <f aca="false">IF(A155="","",INDEX(Candidates!$B$1:$B$500,K155))</f>
        <v>Send Technical Assessment</v>
      </c>
      <c r="K155" s="86" t="n">
        <f aca="false">INT((ROW()-2)/7)+2</f>
        <v>23</v>
      </c>
      <c r="L155" s="86" t="n">
        <f aca="false">MOD(ROW()-2,7)+1</f>
        <v>7</v>
      </c>
    </row>
    <row r="156" customFormat="false" ht="15" hidden="false" customHeight="false" outlineLevel="0" collapsed="false">
      <c r="A156" s="85" t="str">
        <f aca="false">IF(INDEX(Candidates!$A$1:$A$500,K156)="","",INDEX(Candidates!$A$1:$A$500,K156))</f>
        <v>Won Reasley</v>
      </c>
      <c r="B156" s="85" t="str">
        <f aca="false">IF(A156="","",INDEX(Candidates!$C$1:$C$500,K156))</f>
        <v>Commercial Lead</v>
      </c>
      <c r="C156" s="85" t="str">
        <f aca="false">IF(A156="","",INDEX(Candidates!$D$1:$D$500,K156))</f>
        <v>Commercial Team</v>
      </c>
      <c r="D156" s="85" t="n">
        <f aca="false">IF(A156="","",L156)</f>
        <v>1</v>
      </c>
      <c r="E156" s="85" t="str">
        <f aca="false">IF(A156="","",INDEX($O$2:$O$8,L156))</f>
        <v>Resume Review</v>
      </c>
      <c r="F156" s="85" t="n">
        <f aca="false">IF(A156="","",IF(ISNUMBER(INDEX(Candidates!$A$1:$Z$500,K156,INDEX($P$2:$P$8,L156))),INDEX(Candidates!$A$1:$Z$500,K156,INDEX($P$2:$P$8,L156)),""))</f>
        <v>7</v>
      </c>
      <c r="G156" s="85" t="n">
        <f aca="false">IF(A156="","",INDEX($Q$2:$Q$8,L156))</f>
        <v>5</v>
      </c>
      <c r="H156" s="85" t="str">
        <f aca="false">IF(A156="","",IF(F156="","Not yet scored",IF(F156&gt;=G156,"Pass","Fail")))</f>
        <v>Pass</v>
      </c>
      <c r="I156" s="85" t="str">
        <f aca="false">IF(A156="","",INDEX(Candidates!$B$1:$B$500,K156))</f>
        <v>Send Personality Assessment</v>
      </c>
      <c r="K156" s="86" t="n">
        <f aca="false">INT((ROW()-2)/7)+2</f>
        <v>24</v>
      </c>
      <c r="L156" s="86" t="n">
        <f aca="false">MOD(ROW()-2,7)+1</f>
        <v>1</v>
      </c>
    </row>
    <row r="157" customFormat="false" ht="15" hidden="false" customHeight="false" outlineLevel="0" collapsed="false">
      <c r="A157" s="85" t="str">
        <f aca="false">IF(INDEX(Candidates!$A$1:$A$500,K157)="","",INDEX(Candidates!$A$1:$A$500,K157))</f>
        <v>Won Reasley</v>
      </c>
      <c r="B157" s="85" t="str">
        <f aca="false">IF(A157="","",INDEX(Candidates!$C$1:$C$500,K157))</f>
        <v>Commercial Lead</v>
      </c>
      <c r="C157" s="85" t="str">
        <f aca="false">IF(A157="","",INDEX(Candidates!$D$1:$D$500,K157))</f>
        <v>Commercial Team</v>
      </c>
      <c r="D157" s="85" t="n">
        <f aca="false">IF(A157="","",L157)</f>
        <v>2</v>
      </c>
      <c r="E157" s="85" t="str">
        <f aca="false">IF(A157="","",INDEX($O$2:$O$8,L157))</f>
        <v>Tech Assessment</v>
      </c>
      <c r="F157" s="85" t="str">
        <f aca="false">IF(A157="","",IF(ISNUMBER(INDEX(Candidates!$A$1:$Z$500,K157,INDEX($P$2:$P$8,L157))),INDEX(Candidates!$A$1:$Z$500,K157,INDEX($P$2:$P$8,L157)),""))</f>
        <v/>
      </c>
      <c r="G157" s="85" t="n">
        <f aca="false">IF(A157="","",INDEX($Q$2:$Q$8,L157))</f>
        <v>7</v>
      </c>
      <c r="H157" s="85" t="str">
        <f aca="false">IF(A157="","",IF(F157="","Not yet scored",IF(F157&gt;=G157,"Pass","Fail")))</f>
        <v>Not yet scored</v>
      </c>
      <c r="I157" s="85" t="str">
        <f aca="false">IF(A157="","",INDEX(Candidates!$B$1:$B$500,K157))</f>
        <v>Send Personality Assessment</v>
      </c>
      <c r="K157" s="86" t="n">
        <f aca="false">INT((ROW()-2)/7)+2</f>
        <v>24</v>
      </c>
      <c r="L157" s="86" t="n">
        <f aca="false">MOD(ROW()-2,7)+1</f>
        <v>2</v>
      </c>
    </row>
    <row r="158" customFormat="false" ht="15" hidden="false" customHeight="false" outlineLevel="0" collapsed="false">
      <c r="A158" s="85" t="str">
        <f aca="false">IF(INDEX(Candidates!$A$1:$A$500,K158)="","",INDEX(Candidates!$A$1:$A$500,K158))</f>
        <v>Won Reasley</v>
      </c>
      <c r="B158" s="85" t="str">
        <f aca="false">IF(A158="","",INDEX(Candidates!$C$1:$C$500,K158))</f>
        <v>Commercial Lead</v>
      </c>
      <c r="C158" s="85" t="str">
        <f aca="false">IF(A158="","",INDEX(Candidates!$D$1:$D$500,K158))</f>
        <v>Commercial Team</v>
      </c>
      <c r="D158" s="85" t="n">
        <f aca="false">IF(A158="","",L158)</f>
        <v>3</v>
      </c>
      <c r="E158" s="85" t="str">
        <f aca="false">IF(A158="","",INDEX($O$2:$O$8,L158))</f>
        <v>Initial Meeting</v>
      </c>
      <c r="F158" s="85" t="str">
        <f aca="false">IF(A158="","",IF(ISNUMBER(INDEX(Candidates!$A$1:$Z$500,K158,INDEX($P$2:$P$8,L158))),INDEX(Candidates!$A$1:$Z$500,K158,INDEX($P$2:$P$8,L158)),""))</f>
        <v/>
      </c>
      <c r="G158" s="85" t="n">
        <f aca="false">IF(A158="","",INDEX($Q$2:$Q$8,L158))</f>
        <v>6</v>
      </c>
      <c r="H158" s="85" t="str">
        <f aca="false">IF(A158="","",IF(F158="","Not yet scored",IF(F158&gt;=G158,"Pass","Fail")))</f>
        <v>Not yet scored</v>
      </c>
      <c r="I158" s="85" t="str">
        <f aca="false">IF(A158="","",INDEX(Candidates!$B$1:$B$500,K158))</f>
        <v>Send Personality Assessment</v>
      </c>
      <c r="K158" s="86" t="n">
        <f aca="false">INT((ROW()-2)/7)+2</f>
        <v>24</v>
      </c>
      <c r="L158" s="86" t="n">
        <f aca="false">MOD(ROW()-2,7)+1</f>
        <v>3</v>
      </c>
    </row>
    <row r="159" customFormat="false" ht="15" hidden="false" customHeight="false" outlineLevel="0" collapsed="false">
      <c r="A159" s="85" t="str">
        <f aca="false">IF(INDEX(Candidates!$A$1:$A$500,K159)="","",INDEX(Candidates!$A$1:$A$500,K159))</f>
        <v>Won Reasley</v>
      </c>
      <c r="B159" s="85" t="str">
        <f aca="false">IF(A159="","",INDEX(Candidates!$C$1:$C$500,K159))</f>
        <v>Commercial Lead</v>
      </c>
      <c r="C159" s="85" t="str">
        <f aca="false">IF(A159="","",INDEX(Candidates!$D$1:$D$500,K159))</f>
        <v>Commercial Team</v>
      </c>
      <c r="D159" s="85" t="n">
        <f aca="false">IF(A159="","",L159)</f>
        <v>4</v>
      </c>
      <c r="E159" s="85" t="str">
        <f aca="false">IF(A159="","",INDEX($O$2:$O$8,L159))</f>
        <v>Portfolio</v>
      </c>
      <c r="F159" s="85" t="str">
        <f aca="false">IF(A159="","",IF(ISNUMBER(INDEX(Candidates!$A$1:$Z$500,K159,INDEX($P$2:$P$8,L159))),INDEX(Candidates!$A$1:$Z$500,K159,INDEX($P$2:$P$8,L159)),""))</f>
        <v/>
      </c>
      <c r="G159" s="85" t="n">
        <f aca="false">IF(A159="","",INDEX($Q$2:$Q$8,L159))</f>
        <v>7</v>
      </c>
      <c r="H159" s="85" t="str">
        <f aca="false">IF(A159="","",IF(F159="","Not yet scored",IF(F159&gt;=G159,"Pass","Fail")))</f>
        <v>Not yet scored</v>
      </c>
      <c r="I159" s="85" t="str">
        <f aca="false">IF(A159="","",INDEX(Candidates!$B$1:$B$500,K159))</f>
        <v>Send Personality Assessment</v>
      </c>
      <c r="K159" s="86" t="n">
        <f aca="false">INT((ROW()-2)/7)+2</f>
        <v>24</v>
      </c>
      <c r="L159" s="86" t="n">
        <f aca="false">MOD(ROW()-2,7)+1</f>
        <v>4</v>
      </c>
    </row>
    <row r="160" customFormat="false" ht="15" hidden="false" customHeight="false" outlineLevel="0" collapsed="false">
      <c r="A160" s="85" t="str">
        <f aca="false">IF(INDEX(Candidates!$A$1:$A$500,K160)="","",INDEX(Candidates!$A$1:$A$500,K160))</f>
        <v>Won Reasley</v>
      </c>
      <c r="B160" s="85" t="str">
        <f aca="false">IF(A160="","",INDEX(Candidates!$C$1:$C$500,K160))</f>
        <v>Commercial Lead</v>
      </c>
      <c r="C160" s="85" t="str">
        <f aca="false">IF(A160="","",INDEX(Candidates!$D$1:$D$500,K160))</f>
        <v>Commercial Team</v>
      </c>
      <c r="D160" s="85" t="n">
        <f aca="false">IF(A160="","",L160)</f>
        <v>5</v>
      </c>
      <c r="E160" s="85" t="str">
        <f aca="false">IF(A160="","",INDEX($O$2:$O$8,L160))</f>
        <v>Personality Assessment</v>
      </c>
      <c r="F160" s="85" t="str">
        <f aca="false">IF(A160="","",IF(ISNUMBER(INDEX(Candidates!$A$1:$Z$500,K160,INDEX($P$2:$P$8,L160))),INDEX(Candidates!$A$1:$Z$500,K160,INDEX($P$2:$P$8,L160)),""))</f>
        <v/>
      </c>
      <c r="G160" s="85" t="n">
        <f aca="false">IF(A160="","",INDEX($Q$2:$Q$8,L160))</f>
        <v>6</v>
      </c>
      <c r="H160" s="85" t="str">
        <f aca="false">IF(A160="","",IF(F160="","Not yet scored",IF(F160&gt;=G160,"Pass","Fail")))</f>
        <v>Not yet scored</v>
      </c>
      <c r="I160" s="85" t="str">
        <f aca="false">IF(A160="","",INDEX(Candidates!$B$1:$B$500,K160))</f>
        <v>Send Personality Assessment</v>
      </c>
      <c r="K160" s="86" t="n">
        <f aca="false">INT((ROW()-2)/7)+2</f>
        <v>24</v>
      </c>
      <c r="L160" s="86" t="n">
        <f aca="false">MOD(ROW()-2,7)+1</f>
        <v>5</v>
      </c>
    </row>
    <row r="161" customFormat="false" ht="15" hidden="false" customHeight="false" outlineLevel="0" collapsed="false">
      <c r="A161" s="85" t="str">
        <f aca="false">IF(INDEX(Candidates!$A$1:$A$500,K161)="","",INDEX(Candidates!$A$1:$A$500,K161))</f>
        <v>Won Reasley</v>
      </c>
      <c r="B161" s="85" t="str">
        <f aca="false">IF(A161="","",INDEX(Candidates!$C$1:$C$500,K161))</f>
        <v>Commercial Lead</v>
      </c>
      <c r="C161" s="85" t="str">
        <f aca="false">IF(A161="","",INDEX(Candidates!$D$1:$D$500,K161))</f>
        <v>Commercial Team</v>
      </c>
      <c r="D161" s="85" t="n">
        <f aca="false">IF(A161="","",L161)</f>
        <v>6</v>
      </c>
      <c r="E161" s="85" t="str">
        <f aca="false">IF(A161="","",INDEX($O$2:$O$8,L161))</f>
        <v>Technical Interview</v>
      </c>
      <c r="F161" s="85" t="str">
        <f aca="false">IF(A161="","",IF(ISNUMBER(INDEX(Candidates!$A$1:$Z$500,K161,INDEX($P$2:$P$8,L161))),INDEX(Candidates!$A$1:$Z$500,K161,INDEX($P$2:$P$8,L161)),""))</f>
        <v/>
      </c>
      <c r="G161" s="85" t="n">
        <f aca="false">IF(A161="","",INDEX($Q$2:$Q$8,L161))</f>
        <v>8</v>
      </c>
      <c r="H161" s="85" t="str">
        <f aca="false">IF(A161="","",IF(F161="","Not yet scored",IF(F161&gt;=G161,"Pass","Fail")))</f>
        <v>Not yet scored</v>
      </c>
      <c r="I161" s="85" t="str">
        <f aca="false">IF(A161="","",INDEX(Candidates!$B$1:$B$500,K161))</f>
        <v>Send Personality Assessment</v>
      </c>
      <c r="K161" s="86" t="n">
        <f aca="false">INT((ROW()-2)/7)+2</f>
        <v>24</v>
      </c>
      <c r="L161" s="86" t="n">
        <f aca="false">MOD(ROW()-2,7)+1</f>
        <v>6</v>
      </c>
    </row>
    <row r="162" customFormat="false" ht="15" hidden="false" customHeight="false" outlineLevel="0" collapsed="false">
      <c r="A162" s="85" t="str">
        <f aca="false">IF(INDEX(Candidates!$A$1:$A$500,K162)="","",INDEX(Candidates!$A$1:$A$500,K162))</f>
        <v>Won Reasley</v>
      </c>
      <c r="B162" s="85" t="str">
        <f aca="false">IF(A162="","",INDEX(Candidates!$C$1:$C$500,K162))</f>
        <v>Commercial Lead</v>
      </c>
      <c r="C162" s="85" t="str">
        <f aca="false">IF(A162="","",INDEX(Candidates!$D$1:$D$500,K162))</f>
        <v>Commercial Team</v>
      </c>
      <c r="D162" s="85" t="n">
        <f aca="false">IF(A162="","",L162)</f>
        <v>7</v>
      </c>
      <c r="E162" s="85" t="str">
        <f aca="false">IF(A162="","",INDEX($O$2:$O$8,L162))</f>
        <v>Final Interview</v>
      </c>
      <c r="F162" s="85" t="str">
        <f aca="false">IF(A162="","",IF(ISNUMBER(INDEX(Candidates!$A$1:$Z$500,K162,INDEX($P$2:$P$8,L162))),INDEX(Candidates!$A$1:$Z$500,K162,INDEX($P$2:$P$8,L162)),""))</f>
        <v/>
      </c>
      <c r="G162" s="85" t="n">
        <f aca="false">IF(A162="","",INDEX($Q$2:$Q$8,L162))</f>
        <v>8</v>
      </c>
      <c r="H162" s="85" t="str">
        <f aca="false">IF(A162="","",IF(F162="","Not yet scored",IF(F162&gt;=G162,"Pass","Fail")))</f>
        <v>Not yet scored</v>
      </c>
      <c r="I162" s="85" t="str">
        <f aca="false">IF(A162="","",INDEX(Candidates!$B$1:$B$500,K162))</f>
        <v>Send Personality Assessment</v>
      </c>
      <c r="K162" s="86" t="n">
        <f aca="false">INT((ROW()-2)/7)+2</f>
        <v>24</v>
      </c>
      <c r="L162" s="86" t="n">
        <f aca="false">MOD(ROW()-2,7)+1</f>
        <v>7</v>
      </c>
    </row>
    <row r="163" customFormat="false" ht="15" hidden="false" customHeight="false" outlineLevel="0" collapsed="false">
      <c r="A163" s="85" t="str">
        <f aca="false">IF(INDEX(Candidates!$A$1:$A$500,K163)="","",INDEX(Candidates!$A$1:$A$500,K163))</f>
        <v>Vord Loldermort</v>
      </c>
      <c r="B163" s="85" t="str">
        <f aca="false">IF(A163="","",INDEX(Candidates!$C$1:$C$500,K163))</f>
        <v>Multimedia Creator</v>
      </c>
      <c r="C163" s="85" t="str">
        <f aca="false">IF(A163="","",INDEX(Candidates!$D$1:$D$500,K163))</f>
        <v>Graphic Designer</v>
      </c>
      <c r="D163" s="85" t="n">
        <f aca="false">IF(A163="","",L163)</f>
        <v>1</v>
      </c>
      <c r="E163" s="85" t="str">
        <f aca="false">IF(A163="","",INDEX($O$2:$O$8,L163))</f>
        <v>Resume Review</v>
      </c>
      <c r="F163" s="85" t="n">
        <f aca="false">IF(A163="","",IF(ISNUMBER(INDEX(Candidates!$A$1:$Z$500,K163,INDEX($P$2:$P$8,L163))),INDEX(Candidates!$A$1:$Z$500,K163,INDEX($P$2:$P$8,L163)),""))</f>
        <v>7</v>
      </c>
      <c r="G163" s="85" t="n">
        <f aca="false">IF(A163="","",INDEX($Q$2:$Q$8,L163))</f>
        <v>5</v>
      </c>
      <c r="H163" s="85" t="str">
        <f aca="false">IF(A163="","",IF(F163="","Not yet scored",IF(F163&gt;=G163,"Pass","Fail")))</f>
        <v>Pass</v>
      </c>
      <c r="I163" s="85" t="str">
        <f aca="false">IF(A163="","",INDEX(Candidates!$B$1:$B$500,K163))</f>
        <v>Ask for Portfolio</v>
      </c>
      <c r="K163" s="86" t="n">
        <f aca="false">INT((ROW()-2)/7)+2</f>
        <v>25</v>
      </c>
      <c r="L163" s="86" t="n">
        <f aca="false">MOD(ROW()-2,7)+1</f>
        <v>1</v>
      </c>
    </row>
    <row r="164" customFormat="false" ht="15" hidden="false" customHeight="false" outlineLevel="0" collapsed="false">
      <c r="A164" s="85" t="str">
        <f aca="false">IF(INDEX(Candidates!$A$1:$A$500,K164)="","",INDEX(Candidates!$A$1:$A$500,K164))</f>
        <v>Vord Loldermort</v>
      </c>
      <c r="B164" s="85" t="str">
        <f aca="false">IF(A164="","",INDEX(Candidates!$C$1:$C$500,K164))</f>
        <v>Multimedia Creator</v>
      </c>
      <c r="C164" s="85" t="str">
        <f aca="false">IF(A164="","",INDEX(Candidates!$D$1:$D$500,K164))</f>
        <v>Graphic Designer</v>
      </c>
      <c r="D164" s="85" t="n">
        <f aca="false">IF(A164="","",L164)</f>
        <v>2</v>
      </c>
      <c r="E164" s="85" t="str">
        <f aca="false">IF(A164="","",INDEX($O$2:$O$8,L164))</f>
        <v>Tech Assessment</v>
      </c>
      <c r="F164" s="85" t="str">
        <f aca="false">IF(A164="","",IF(ISNUMBER(INDEX(Candidates!$A$1:$Z$500,K164,INDEX($P$2:$P$8,L164))),INDEX(Candidates!$A$1:$Z$500,K164,INDEX($P$2:$P$8,L164)),""))</f>
        <v/>
      </c>
      <c r="G164" s="85" t="n">
        <f aca="false">IF(A164="","",INDEX($Q$2:$Q$8,L164))</f>
        <v>7</v>
      </c>
      <c r="H164" s="85" t="str">
        <f aca="false">IF(A164="","",IF(F164="","Not yet scored",IF(F164&gt;=G164,"Pass","Fail")))</f>
        <v>Not yet scored</v>
      </c>
      <c r="I164" s="85" t="str">
        <f aca="false">IF(A164="","",INDEX(Candidates!$B$1:$B$500,K164))</f>
        <v>Ask for Portfolio</v>
      </c>
      <c r="K164" s="86" t="n">
        <f aca="false">INT((ROW()-2)/7)+2</f>
        <v>25</v>
      </c>
      <c r="L164" s="86" t="n">
        <f aca="false">MOD(ROW()-2,7)+1</f>
        <v>2</v>
      </c>
    </row>
    <row r="165" customFormat="false" ht="15" hidden="false" customHeight="false" outlineLevel="0" collapsed="false">
      <c r="A165" s="85" t="str">
        <f aca="false">IF(INDEX(Candidates!$A$1:$A$500,K165)="","",INDEX(Candidates!$A$1:$A$500,K165))</f>
        <v>Vord Loldermort</v>
      </c>
      <c r="B165" s="85" t="str">
        <f aca="false">IF(A165="","",INDEX(Candidates!$C$1:$C$500,K165))</f>
        <v>Multimedia Creator</v>
      </c>
      <c r="C165" s="85" t="str">
        <f aca="false">IF(A165="","",INDEX(Candidates!$D$1:$D$500,K165))</f>
        <v>Graphic Designer</v>
      </c>
      <c r="D165" s="85" t="n">
        <f aca="false">IF(A165="","",L165)</f>
        <v>3</v>
      </c>
      <c r="E165" s="85" t="str">
        <f aca="false">IF(A165="","",INDEX($O$2:$O$8,L165))</f>
        <v>Initial Meeting</v>
      </c>
      <c r="F165" s="85" t="str">
        <f aca="false">IF(A165="","",IF(ISNUMBER(INDEX(Candidates!$A$1:$Z$500,K165,INDEX($P$2:$P$8,L165))),INDEX(Candidates!$A$1:$Z$500,K165,INDEX($P$2:$P$8,L165)),""))</f>
        <v/>
      </c>
      <c r="G165" s="85" t="n">
        <f aca="false">IF(A165="","",INDEX($Q$2:$Q$8,L165))</f>
        <v>6</v>
      </c>
      <c r="H165" s="85" t="str">
        <f aca="false">IF(A165="","",IF(F165="","Not yet scored",IF(F165&gt;=G165,"Pass","Fail")))</f>
        <v>Not yet scored</v>
      </c>
      <c r="I165" s="85" t="str">
        <f aca="false">IF(A165="","",INDEX(Candidates!$B$1:$B$500,K165))</f>
        <v>Ask for Portfolio</v>
      </c>
      <c r="K165" s="86" t="n">
        <f aca="false">INT((ROW()-2)/7)+2</f>
        <v>25</v>
      </c>
      <c r="L165" s="86" t="n">
        <f aca="false">MOD(ROW()-2,7)+1</f>
        <v>3</v>
      </c>
    </row>
    <row r="166" customFormat="false" ht="15" hidden="false" customHeight="false" outlineLevel="0" collapsed="false">
      <c r="A166" s="85" t="str">
        <f aca="false">IF(INDEX(Candidates!$A$1:$A$500,K166)="","",INDEX(Candidates!$A$1:$A$500,K166))</f>
        <v>Vord Loldermort</v>
      </c>
      <c r="B166" s="85" t="str">
        <f aca="false">IF(A166="","",INDEX(Candidates!$C$1:$C$500,K166))</f>
        <v>Multimedia Creator</v>
      </c>
      <c r="C166" s="85" t="str">
        <f aca="false">IF(A166="","",INDEX(Candidates!$D$1:$D$500,K166))</f>
        <v>Graphic Designer</v>
      </c>
      <c r="D166" s="85" t="n">
        <f aca="false">IF(A166="","",L166)</f>
        <v>4</v>
      </c>
      <c r="E166" s="85" t="str">
        <f aca="false">IF(A166="","",INDEX($O$2:$O$8,L166))</f>
        <v>Portfolio</v>
      </c>
      <c r="F166" s="85" t="str">
        <f aca="false">IF(A166="","",IF(ISNUMBER(INDEX(Candidates!$A$1:$Z$500,K166,INDEX($P$2:$P$8,L166))),INDEX(Candidates!$A$1:$Z$500,K166,INDEX($P$2:$P$8,L166)),""))</f>
        <v/>
      </c>
      <c r="G166" s="85" t="n">
        <f aca="false">IF(A166="","",INDEX($Q$2:$Q$8,L166))</f>
        <v>7</v>
      </c>
      <c r="H166" s="85" t="str">
        <f aca="false">IF(A166="","",IF(F166="","Not yet scored",IF(F166&gt;=G166,"Pass","Fail")))</f>
        <v>Not yet scored</v>
      </c>
      <c r="I166" s="85" t="str">
        <f aca="false">IF(A166="","",INDEX(Candidates!$B$1:$B$500,K166))</f>
        <v>Ask for Portfolio</v>
      </c>
      <c r="K166" s="86" t="n">
        <f aca="false">INT((ROW()-2)/7)+2</f>
        <v>25</v>
      </c>
      <c r="L166" s="86" t="n">
        <f aca="false">MOD(ROW()-2,7)+1</f>
        <v>4</v>
      </c>
    </row>
    <row r="167" customFormat="false" ht="15" hidden="false" customHeight="false" outlineLevel="0" collapsed="false">
      <c r="A167" s="85" t="str">
        <f aca="false">IF(INDEX(Candidates!$A$1:$A$500,K167)="","",INDEX(Candidates!$A$1:$A$500,K167))</f>
        <v>Vord Loldermort</v>
      </c>
      <c r="B167" s="85" t="str">
        <f aca="false">IF(A167="","",INDEX(Candidates!$C$1:$C$500,K167))</f>
        <v>Multimedia Creator</v>
      </c>
      <c r="C167" s="85" t="str">
        <f aca="false">IF(A167="","",INDEX(Candidates!$D$1:$D$500,K167))</f>
        <v>Graphic Designer</v>
      </c>
      <c r="D167" s="85" t="n">
        <f aca="false">IF(A167="","",L167)</f>
        <v>5</v>
      </c>
      <c r="E167" s="85" t="str">
        <f aca="false">IF(A167="","",INDEX($O$2:$O$8,L167))</f>
        <v>Personality Assessment</v>
      </c>
      <c r="F167" s="85" t="str">
        <f aca="false">IF(A167="","",IF(ISNUMBER(INDEX(Candidates!$A$1:$Z$500,K167,INDEX($P$2:$P$8,L167))),INDEX(Candidates!$A$1:$Z$500,K167,INDEX($P$2:$P$8,L167)),""))</f>
        <v/>
      </c>
      <c r="G167" s="85" t="n">
        <f aca="false">IF(A167="","",INDEX($Q$2:$Q$8,L167))</f>
        <v>6</v>
      </c>
      <c r="H167" s="85" t="str">
        <f aca="false">IF(A167="","",IF(F167="","Not yet scored",IF(F167&gt;=G167,"Pass","Fail")))</f>
        <v>Not yet scored</v>
      </c>
      <c r="I167" s="85" t="str">
        <f aca="false">IF(A167="","",INDEX(Candidates!$B$1:$B$500,K167))</f>
        <v>Ask for Portfolio</v>
      </c>
      <c r="K167" s="86" t="n">
        <f aca="false">INT((ROW()-2)/7)+2</f>
        <v>25</v>
      </c>
      <c r="L167" s="86" t="n">
        <f aca="false">MOD(ROW()-2,7)+1</f>
        <v>5</v>
      </c>
    </row>
    <row r="168" customFormat="false" ht="15" hidden="false" customHeight="false" outlineLevel="0" collapsed="false">
      <c r="A168" s="85" t="str">
        <f aca="false">IF(INDEX(Candidates!$A$1:$A$500,K168)="","",INDEX(Candidates!$A$1:$A$500,K168))</f>
        <v>Vord Loldermort</v>
      </c>
      <c r="B168" s="85" t="str">
        <f aca="false">IF(A168="","",INDEX(Candidates!$C$1:$C$500,K168))</f>
        <v>Multimedia Creator</v>
      </c>
      <c r="C168" s="85" t="str">
        <f aca="false">IF(A168="","",INDEX(Candidates!$D$1:$D$500,K168))</f>
        <v>Graphic Designer</v>
      </c>
      <c r="D168" s="85" t="n">
        <f aca="false">IF(A168="","",L168)</f>
        <v>6</v>
      </c>
      <c r="E168" s="85" t="str">
        <f aca="false">IF(A168="","",INDEX($O$2:$O$8,L168))</f>
        <v>Technical Interview</v>
      </c>
      <c r="F168" s="85" t="str">
        <f aca="false">IF(A168="","",IF(ISNUMBER(INDEX(Candidates!$A$1:$Z$500,K168,INDEX($P$2:$P$8,L168))),INDEX(Candidates!$A$1:$Z$500,K168,INDEX($P$2:$P$8,L168)),""))</f>
        <v/>
      </c>
      <c r="G168" s="85" t="n">
        <f aca="false">IF(A168="","",INDEX($Q$2:$Q$8,L168))</f>
        <v>8</v>
      </c>
      <c r="H168" s="85" t="str">
        <f aca="false">IF(A168="","",IF(F168="","Not yet scored",IF(F168&gt;=G168,"Pass","Fail")))</f>
        <v>Not yet scored</v>
      </c>
      <c r="I168" s="85" t="str">
        <f aca="false">IF(A168="","",INDEX(Candidates!$B$1:$B$500,K168))</f>
        <v>Ask for Portfolio</v>
      </c>
      <c r="K168" s="86" t="n">
        <f aca="false">INT((ROW()-2)/7)+2</f>
        <v>25</v>
      </c>
      <c r="L168" s="86" t="n">
        <f aca="false">MOD(ROW()-2,7)+1</f>
        <v>6</v>
      </c>
    </row>
    <row r="169" customFormat="false" ht="15" hidden="false" customHeight="false" outlineLevel="0" collapsed="false">
      <c r="A169" s="85" t="str">
        <f aca="false">IF(INDEX(Candidates!$A$1:$A$500,K169)="","",INDEX(Candidates!$A$1:$A$500,K169))</f>
        <v>Vord Loldermort</v>
      </c>
      <c r="B169" s="85" t="str">
        <f aca="false">IF(A169="","",INDEX(Candidates!$C$1:$C$500,K169))</f>
        <v>Multimedia Creator</v>
      </c>
      <c r="C169" s="85" t="str">
        <f aca="false">IF(A169="","",INDEX(Candidates!$D$1:$D$500,K169))</f>
        <v>Graphic Designer</v>
      </c>
      <c r="D169" s="85" t="n">
        <f aca="false">IF(A169="","",L169)</f>
        <v>7</v>
      </c>
      <c r="E169" s="85" t="str">
        <f aca="false">IF(A169="","",INDEX($O$2:$O$8,L169))</f>
        <v>Final Interview</v>
      </c>
      <c r="F169" s="85" t="str">
        <f aca="false">IF(A169="","",IF(ISNUMBER(INDEX(Candidates!$A$1:$Z$500,K169,INDEX($P$2:$P$8,L169))),INDEX(Candidates!$A$1:$Z$500,K169,INDEX($P$2:$P$8,L169)),""))</f>
        <v/>
      </c>
      <c r="G169" s="85" t="n">
        <f aca="false">IF(A169="","",INDEX($Q$2:$Q$8,L169))</f>
        <v>8</v>
      </c>
      <c r="H169" s="85" t="str">
        <f aca="false">IF(A169="","",IF(F169="","Not yet scored",IF(F169&gt;=G169,"Pass","Fail")))</f>
        <v>Not yet scored</v>
      </c>
      <c r="I169" s="85" t="str">
        <f aca="false">IF(A169="","",INDEX(Candidates!$B$1:$B$500,K169))</f>
        <v>Ask for Portfolio</v>
      </c>
      <c r="K169" s="86" t="n">
        <f aca="false">INT((ROW()-2)/7)+2</f>
        <v>25</v>
      </c>
      <c r="L169" s="86" t="n">
        <f aca="false">MOD(ROW()-2,7)+1</f>
        <v>7</v>
      </c>
    </row>
    <row r="170" customFormat="false" ht="15" hidden="false" customHeight="false" outlineLevel="0" collapsed="false">
      <c r="A170" s="85" t="str">
        <f aca="false">IF(INDEX(Candidates!$A$1:$A$500,K170)="","",INDEX(Candidates!$A$1:$A$500,K170))</f>
        <v>Rom Tiddle</v>
      </c>
      <c r="B170" s="85" t="str">
        <f aca="false">IF(A170="","",INDEX(Candidates!$C$1:$C$500,K170))</f>
        <v>Multimedia Creator</v>
      </c>
      <c r="C170" s="85" t="str">
        <f aca="false">IF(A170="","",INDEX(Candidates!$D$1:$D$500,K170))</f>
        <v>Graphic Designer</v>
      </c>
      <c r="D170" s="85" t="n">
        <f aca="false">IF(A170="","",L170)</f>
        <v>1</v>
      </c>
      <c r="E170" s="85" t="str">
        <f aca="false">IF(A170="","",INDEX($O$2:$O$8,L170))</f>
        <v>Resume Review</v>
      </c>
      <c r="F170" s="85" t="n">
        <f aca="false">IF(A170="","",IF(ISNUMBER(INDEX(Candidates!$A$1:$Z$500,K170,INDEX($P$2:$P$8,L170))),INDEX(Candidates!$A$1:$Z$500,K170,INDEX($P$2:$P$8,L170)),""))</f>
        <v>7</v>
      </c>
      <c r="G170" s="85" t="n">
        <f aca="false">IF(A170="","",INDEX($Q$2:$Q$8,L170))</f>
        <v>5</v>
      </c>
      <c r="H170" s="85" t="str">
        <f aca="false">IF(A170="","",IF(F170="","Not yet scored",IF(F170&gt;=G170,"Pass","Fail")))</f>
        <v>Pass</v>
      </c>
      <c r="I170" s="85" t="str">
        <f aca="false">IF(A170="","",INDEX(Candidates!$B$1:$B$500,K170))</f>
        <v>Ask for Portfolio</v>
      </c>
      <c r="K170" s="86" t="n">
        <f aca="false">INT((ROW()-2)/7)+2</f>
        <v>26</v>
      </c>
      <c r="L170" s="86" t="n">
        <f aca="false">MOD(ROW()-2,7)+1</f>
        <v>1</v>
      </c>
    </row>
    <row r="171" customFormat="false" ht="15" hidden="false" customHeight="false" outlineLevel="0" collapsed="false">
      <c r="A171" s="85" t="str">
        <f aca="false">IF(INDEX(Candidates!$A$1:$A$500,K171)="","",INDEX(Candidates!$A$1:$A$500,K171))</f>
        <v>Rom Tiddle</v>
      </c>
      <c r="B171" s="85" t="str">
        <f aca="false">IF(A171="","",INDEX(Candidates!$C$1:$C$500,K171))</f>
        <v>Multimedia Creator</v>
      </c>
      <c r="C171" s="85" t="str">
        <f aca="false">IF(A171="","",INDEX(Candidates!$D$1:$D$500,K171))</f>
        <v>Graphic Designer</v>
      </c>
      <c r="D171" s="85" t="n">
        <f aca="false">IF(A171="","",L171)</f>
        <v>2</v>
      </c>
      <c r="E171" s="85" t="str">
        <f aca="false">IF(A171="","",INDEX($O$2:$O$8,L171))</f>
        <v>Tech Assessment</v>
      </c>
      <c r="F171" s="85" t="str">
        <f aca="false">IF(A171="","",IF(ISNUMBER(INDEX(Candidates!$A$1:$Z$500,K171,INDEX($P$2:$P$8,L171))),INDEX(Candidates!$A$1:$Z$500,K171,INDEX($P$2:$P$8,L171)),""))</f>
        <v/>
      </c>
      <c r="G171" s="85" t="n">
        <f aca="false">IF(A171="","",INDEX($Q$2:$Q$8,L171))</f>
        <v>7</v>
      </c>
      <c r="H171" s="85" t="str">
        <f aca="false">IF(A171="","",IF(F171="","Not yet scored",IF(F171&gt;=G171,"Pass","Fail")))</f>
        <v>Not yet scored</v>
      </c>
      <c r="I171" s="85" t="str">
        <f aca="false">IF(A171="","",INDEX(Candidates!$B$1:$B$500,K171))</f>
        <v>Ask for Portfolio</v>
      </c>
      <c r="K171" s="86" t="n">
        <f aca="false">INT((ROW()-2)/7)+2</f>
        <v>26</v>
      </c>
      <c r="L171" s="86" t="n">
        <f aca="false">MOD(ROW()-2,7)+1</f>
        <v>2</v>
      </c>
    </row>
    <row r="172" customFormat="false" ht="15" hidden="false" customHeight="false" outlineLevel="0" collapsed="false">
      <c r="A172" s="85" t="str">
        <f aca="false">IF(INDEX(Candidates!$A$1:$A$500,K172)="","",INDEX(Candidates!$A$1:$A$500,K172))</f>
        <v>Rom Tiddle</v>
      </c>
      <c r="B172" s="85" t="str">
        <f aca="false">IF(A172="","",INDEX(Candidates!$C$1:$C$500,K172))</f>
        <v>Multimedia Creator</v>
      </c>
      <c r="C172" s="85" t="str">
        <f aca="false">IF(A172="","",INDEX(Candidates!$D$1:$D$500,K172))</f>
        <v>Graphic Designer</v>
      </c>
      <c r="D172" s="85" t="n">
        <f aca="false">IF(A172="","",L172)</f>
        <v>3</v>
      </c>
      <c r="E172" s="85" t="str">
        <f aca="false">IF(A172="","",INDEX($O$2:$O$8,L172))</f>
        <v>Initial Meeting</v>
      </c>
      <c r="F172" s="85" t="str">
        <f aca="false">IF(A172="","",IF(ISNUMBER(INDEX(Candidates!$A$1:$Z$500,K172,INDEX($P$2:$P$8,L172))),INDEX(Candidates!$A$1:$Z$500,K172,INDEX($P$2:$P$8,L172)),""))</f>
        <v/>
      </c>
      <c r="G172" s="85" t="n">
        <f aca="false">IF(A172="","",INDEX($Q$2:$Q$8,L172))</f>
        <v>6</v>
      </c>
      <c r="H172" s="85" t="str">
        <f aca="false">IF(A172="","",IF(F172="","Not yet scored",IF(F172&gt;=G172,"Pass","Fail")))</f>
        <v>Not yet scored</v>
      </c>
      <c r="I172" s="85" t="str">
        <f aca="false">IF(A172="","",INDEX(Candidates!$B$1:$B$500,K172))</f>
        <v>Ask for Portfolio</v>
      </c>
      <c r="K172" s="86" t="n">
        <f aca="false">INT((ROW()-2)/7)+2</f>
        <v>26</v>
      </c>
      <c r="L172" s="86" t="n">
        <f aca="false">MOD(ROW()-2,7)+1</f>
        <v>3</v>
      </c>
    </row>
    <row r="173" customFormat="false" ht="15" hidden="false" customHeight="false" outlineLevel="0" collapsed="false">
      <c r="A173" s="85" t="str">
        <f aca="false">IF(INDEX(Candidates!$A$1:$A$500,K173)="","",INDEX(Candidates!$A$1:$A$500,K173))</f>
        <v>Rom Tiddle</v>
      </c>
      <c r="B173" s="85" t="str">
        <f aca="false">IF(A173="","",INDEX(Candidates!$C$1:$C$500,K173))</f>
        <v>Multimedia Creator</v>
      </c>
      <c r="C173" s="85" t="str">
        <f aca="false">IF(A173="","",INDEX(Candidates!$D$1:$D$500,K173))</f>
        <v>Graphic Designer</v>
      </c>
      <c r="D173" s="85" t="n">
        <f aca="false">IF(A173="","",L173)</f>
        <v>4</v>
      </c>
      <c r="E173" s="85" t="str">
        <f aca="false">IF(A173="","",INDEX($O$2:$O$8,L173))</f>
        <v>Portfolio</v>
      </c>
      <c r="F173" s="85" t="str">
        <f aca="false">IF(A173="","",IF(ISNUMBER(INDEX(Candidates!$A$1:$Z$500,K173,INDEX($P$2:$P$8,L173))),INDEX(Candidates!$A$1:$Z$500,K173,INDEX($P$2:$P$8,L173)),""))</f>
        <v/>
      </c>
      <c r="G173" s="85" t="n">
        <f aca="false">IF(A173="","",INDEX($Q$2:$Q$8,L173))</f>
        <v>7</v>
      </c>
      <c r="H173" s="85" t="str">
        <f aca="false">IF(A173="","",IF(F173="","Not yet scored",IF(F173&gt;=G173,"Pass","Fail")))</f>
        <v>Not yet scored</v>
      </c>
      <c r="I173" s="85" t="str">
        <f aca="false">IF(A173="","",INDEX(Candidates!$B$1:$B$500,K173))</f>
        <v>Ask for Portfolio</v>
      </c>
      <c r="K173" s="86" t="n">
        <f aca="false">INT((ROW()-2)/7)+2</f>
        <v>26</v>
      </c>
      <c r="L173" s="86" t="n">
        <f aca="false">MOD(ROW()-2,7)+1</f>
        <v>4</v>
      </c>
    </row>
    <row r="174" customFormat="false" ht="15" hidden="false" customHeight="false" outlineLevel="0" collapsed="false">
      <c r="A174" s="85" t="str">
        <f aca="false">IF(INDEX(Candidates!$A$1:$A$500,K174)="","",INDEX(Candidates!$A$1:$A$500,K174))</f>
        <v>Rom Tiddle</v>
      </c>
      <c r="B174" s="85" t="str">
        <f aca="false">IF(A174="","",INDEX(Candidates!$C$1:$C$500,K174))</f>
        <v>Multimedia Creator</v>
      </c>
      <c r="C174" s="85" t="str">
        <f aca="false">IF(A174="","",INDEX(Candidates!$D$1:$D$500,K174))</f>
        <v>Graphic Designer</v>
      </c>
      <c r="D174" s="85" t="n">
        <f aca="false">IF(A174="","",L174)</f>
        <v>5</v>
      </c>
      <c r="E174" s="85" t="str">
        <f aca="false">IF(A174="","",INDEX($O$2:$O$8,L174))</f>
        <v>Personality Assessment</v>
      </c>
      <c r="F174" s="85" t="str">
        <f aca="false">IF(A174="","",IF(ISNUMBER(INDEX(Candidates!$A$1:$Z$500,K174,INDEX($P$2:$P$8,L174))),INDEX(Candidates!$A$1:$Z$500,K174,INDEX($P$2:$P$8,L174)),""))</f>
        <v/>
      </c>
      <c r="G174" s="85" t="n">
        <f aca="false">IF(A174="","",INDEX($Q$2:$Q$8,L174))</f>
        <v>6</v>
      </c>
      <c r="H174" s="85" t="str">
        <f aca="false">IF(A174="","",IF(F174="","Not yet scored",IF(F174&gt;=G174,"Pass","Fail")))</f>
        <v>Not yet scored</v>
      </c>
      <c r="I174" s="85" t="str">
        <f aca="false">IF(A174="","",INDEX(Candidates!$B$1:$B$500,K174))</f>
        <v>Ask for Portfolio</v>
      </c>
      <c r="K174" s="86" t="n">
        <f aca="false">INT((ROW()-2)/7)+2</f>
        <v>26</v>
      </c>
      <c r="L174" s="86" t="n">
        <f aca="false">MOD(ROW()-2,7)+1</f>
        <v>5</v>
      </c>
    </row>
    <row r="175" customFormat="false" ht="15" hidden="false" customHeight="false" outlineLevel="0" collapsed="false">
      <c r="A175" s="85" t="str">
        <f aca="false">IF(INDEX(Candidates!$A$1:$A$500,K175)="","",INDEX(Candidates!$A$1:$A$500,K175))</f>
        <v>Rom Tiddle</v>
      </c>
      <c r="B175" s="85" t="str">
        <f aca="false">IF(A175="","",INDEX(Candidates!$C$1:$C$500,K175))</f>
        <v>Multimedia Creator</v>
      </c>
      <c r="C175" s="85" t="str">
        <f aca="false">IF(A175="","",INDEX(Candidates!$D$1:$D$500,K175))</f>
        <v>Graphic Designer</v>
      </c>
      <c r="D175" s="85" t="n">
        <f aca="false">IF(A175="","",L175)</f>
        <v>6</v>
      </c>
      <c r="E175" s="85" t="str">
        <f aca="false">IF(A175="","",INDEX($O$2:$O$8,L175))</f>
        <v>Technical Interview</v>
      </c>
      <c r="F175" s="85" t="str">
        <f aca="false">IF(A175="","",IF(ISNUMBER(INDEX(Candidates!$A$1:$Z$500,K175,INDEX($P$2:$P$8,L175))),INDEX(Candidates!$A$1:$Z$500,K175,INDEX($P$2:$P$8,L175)),""))</f>
        <v/>
      </c>
      <c r="G175" s="85" t="n">
        <f aca="false">IF(A175="","",INDEX($Q$2:$Q$8,L175))</f>
        <v>8</v>
      </c>
      <c r="H175" s="85" t="str">
        <f aca="false">IF(A175="","",IF(F175="","Not yet scored",IF(F175&gt;=G175,"Pass","Fail")))</f>
        <v>Not yet scored</v>
      </c>
      <c r="I175" s="85" t="str">
        <f aca="false">IF(A175="","",INDEX(Candidates!$B$1:$B$500,K175))</f>
        <v>Ask for Portfolio</v>
      </c>
      <c r="K175" s="86" t="n">
        <f aca="false">INT((ROW()-2)/7)+2</f>
        <v>26</v>
      </c>
      <c r="L175" s="86" t="n">
        <f aca="false">MOD(ROW()-2,7)+1</f>
        <v>6</v>
      </c>
    </row>
    <row r="176" customFormat="false" ht="15" hidden="false" customHeight="false" outlineLevel="0" collapsed="false">
      <c r="A176" s="85" t="str">
        <f aca="false">IF(INDEX(Candidates!$A$1:$A$500,K176)="","",INDEX(Candidates!$A$1:$A$500,K176))</f>
        <v>Rom Tiddle</v>
      </c>
      <c r="B176" s="85" t="str">
        <f aca="false">IF(A176="","",INDEX(Candidates!$C$1:$C$500,K176))</f>
        <v>Multimedia Creator</v>
      </c>
      <c r="C176" s="85" t="str">
        <f aca="false">IF(A176="","",INDEX(Candidates!$D$1:$D$500,K176))</f>
        <v>Graphic Designer</v>
      </c>
      <c r="D176" s="85" t="n">
        <f aca="false">IF(A176="","",L176)</f>
        <v>7</v>
      </c>
      <c r="E176" s="85" t="str">
        <f aca="false">IF(A176="","",INDEX($O$2:$O$8,L176))</f>
        <v>Final Interview</v>
      </c>
      <c r="F176" s="85" t="str">
        <f aca="false">IF(A176="","",IF(ISNUMBER(INDEX(Candidates!$A$1:$Z$500,K176,INDEX($P$2:$P$8,L176))),INDEX(Candidates!$A$1:$Z$500,K176,INDEX($P$2:$P$8,L176)),""))</f>
        <v/>
      </c>
      <c r="G176" s="85" t="n">
        <f aca="false">IF(A176="","",INDEX($Q$2:$Q$8,L176))</f>
        <v>8</v>
      </c>
      <c r="H176" s="85" t="str">
        <f aca="false">IF(A176="","",IF(F176="","Not yet scored",IF(F176&gt;=G176,"Pass","Fail")))</f>
        <v>Not yet scored</v>
      </c>
      <c r="I176" s="85" t="str">
        <f aca="false">IF(A176="","",INDEX(Candidates!$B$1:$B$500,K176))</f>
        <v>Ask for Portfolio</v>
      </c>
      <c r="K176" s="86" t="n">
        <f aca="false">INT((ROW()-2)/7)+2</f>
        <v>26</v>
      </c>
      <c r="L176" s="86" t="n">
        <f aca="false">MOD(ROW()-2,7)+1</f>
        <v>7</v>
      </c>
    </row>
    <row r="177" customFormat="false" ht="15" hidden="false" customHeight="false" outlineLevel="0" collapsed="false">
      <c r="A177" s="85" t="str">
        <f aca="false">IF(INDEX(Candidates!$A$1:$A$500,K177)="","",INDEX(Candidates!$A$1:$A$500,K177))</f>
        <v>Dalbus Umbledore</v>
      </c>
      <c r="B177" s="85" t="str">
        <f aca="false">IF(A177="","",INDEX(Candidates!$C$1:$C$500,K177))</f>
        <v>Front-End Developer</v>
      </c>
      <c r="C177" s="85" t="str">
        <f aca="false">IF(A177="","",INDEX(Candidates!$D$1:$D$500,K177))</f>
        <v>Software Developer</v>
      </c>
      <c r="D177" s="85" t="n">
        <f aca="false">IF(A177="","",L177)</f>
        <v>1</v>
      </c>
      <c r="E177" s="85" t="str">
        <f aca="false">IF(A177="","",INDEX($O$2:$O$8,L177))</f>
        <v>Resume Review</v>
      </c>
      <c r="F177" s="85" t="n">
        <f aca="false">IF(A177="","",IF(ISNUMBER(INDEX(Candidates!$A$1:$Z$500,K177,INDEX($P$2:$P$8,L177))),INDEX(Candidates!$A$1:$Z$500,K177,INDEX($P$2:$P$8,L177)),""))</f>
        <v>9</v>
      </c>
      <c r="G177" s="85" t="n">
        <f aca="false">IF(A177="","",INDEX($Q$2:$Q$8,L177))</f>
        <v>5</v>
      </c>
      <c r="H177" s="85" t="str">
        <f aca="false">IF(A177="","",IF(F177="","Not yet scored",IF(F177&gt;=G177,"Pass","Fail")))</f>
        <v>Pass</v>
      </c>
      <c r="I177" s="85" t="str">
        <f aca="false">IF(A177="","",INDEX(Candidates!$B$1:$B$500,K177))</f>
        <v>Schedule Initial Meeting</v>
      </c>
      <c r="K177" s="86" t="n">
        <f aca="false">INT((ROW()-2)/7)+2</f>
        <v>27</v>
      </c>
      <c r="L177" s="86" t="n">
        <f aca="false">MOD(ROW()-2,7)+1</f>
        <v>1</v>
      </c>
    </row>
    <row r="178" customFormat="false" ht="15" hidden="false" customHeight="false" outlineLevel="0" collapsed="false">
      <c r="A178" s="85" t="str">
        <f aca="false">IF(INDEX(Candidates!$A$1:$A$500,K178)="","",INDEX(Candidates!$A$1:$A$500,K178))</f>
        <v>Dalbus Umbledore</v>
      </c>
      <c r="B178" s="85" t="str">
        <f aca="false">IF(A178="","",INDEX(Candidates!$C$1:$C$500,K178))</f>
        <v>Front-End Developer</v>
      </c>
      <c r="C178" s="85" t="str">
        <f aca="false">IF(A178="","",INDEX(Candidates!$D$1:$D$500,K178))</f>
        <v>Software Developer</v>
      </c>
      <c r="D178" s="85" t="n">
        <f aca="false">IF(A178="","",L178)</f>
        <v>2</v>
      </c>
      <c r="E178" s="85" t="str">
        <f aca="false">IF(A178="","",INDEX($O$2:$O$8,L178))</f>
        <v>Tech Assessment</v>
      </c>
      <c r="F178" s="85" t="str">
        <f aca="false">IF(A178="","",IF(ISNUMBER(INDEX(Candidates!$A$1:$Z$500,K178,INDEX($P$2:$P$8,L178))),INDEX(Candidates!$A$1:$Z$500,K178,INDEX($P$2:$P$8,L178)),""))</f>
        <v/>
      </c>
      <c r="G178" s="85" t="n">
        <f aca="false">IF(A178="","",INDEX($Q$2:$Q$8,L178))</f>
        <v>7</v>
      </c>
      <c r="H178" s="85" t="str">
        <f aca="false">IF(A178="","",IF(F178="","Not yet scored",IF(F178&gt;=G178,"Pass","Fail")))</f>
        <v>Not yet scored</v>
      </c>
      <c r="I178" s="85" t="str">
        <f aca="false">IF(A178="","",INDEX(Candidates!$B$1:$B$500,K178))</f>
        <v>Schedule Initial Meeting</v>
      </c>
      <c r="K178" s="86" t="n">
        <f aca="false">INT((ROW()-2)/7)+2</f>
        <v>27</v>
      </c>
      <c r="L178" s="86" t="n">
        <f aca="false">MOD(ROW()-2,7)+1</f>
        <v>2</v>
      </c>
    </row>
    <row r="179" customFormat="false" ht="15" hidden="false" customHeight="false" outlineLevel="0" collapsed="false">
      <c r="A179" s="85" t="str">
        <f aca="false">IF(INDEX(Candidates!$A$1:$A$500,K179)="","",INDEX(Candidates!$A$1:$A$500,K179))</f>
        <v>Dalbus Umbledore</v>
      </c>
      <c r="B179" s="85" t="str">
        <f aca="false">IF(A179="","",INDEX(Candidates!$C$1:$C$500,K179))</f>
        <v>Front-End Developer</v>
      </c>
      <c r="C179" s="85" t="str">
        <f aca="false">IF(A179="","",INDEX(Candidates!$D$1:$D$500,K179))</f>
        <v>Software Developer</v>
      </c>
      <c r="D179" s="85" t="n">
        <f aca="false">IF(A179="","",L179)</f>
        <v>3</v>
      </c>
      <c r="E179" s="85" t="str">
        <f aca="false">IF(A179="","",INDEX($O$2:$O$8,L179))</f>
        <v>Initial Meeting</v>
      </c>
      <c r="F179" s="85" t="str">
        <f aca="false">IF(A179="","",IF(ISNUMBER(INDEX(Candidates!$A$1:$Z$500,K179,INDEX($P$2:$P$8,L179))),INDEX(Candidates!$A$1:$Z$500,K179,INDEX($P$2:$P$8,L179)),""))</f>
        <v/>
      </c>
      <c r="G179" s="85" t="n">
        <f aca="false">IF(A179="","",INDEX($Q$2:$Q$8,L179))</f>
        <v>6</v>
      </c>
      <c r="H179" s="85" t="str">
        <f aca="false">IF(A179="","",IF(F179="","Not yet scored",IF(F179&gt;=G179,"Pass","Fail")))</f>
        <v>Not yet scored</v>
      </c>
      <c r="I179" s="85" t="str">
        <f aca="false">IF(A179="","",INDEX(Candidates!$B$1:$B$500,K179))</f>
        <v>Schedule Initial Meeting</v>
      </c>
      <c r="K179" s="86" t="n">
        <f aca="false">INT((ROW()-2)/7)+2</f>
        <v>27</v>
      </c>
      <c r="L179" s="86" t="n">
        <f aca="false">MOD(ROW()-2,7)+1</f>
        <v>3</v>
      </c>
    </row>
    <row r="180" customFormat="false" ht="15" hidden="false" customHeight="false" outlineLevel="0" collapsed="false">
      <c r="A180" s="85" t="str">
        <f aca="false">IF(INDEX(Candidates!$A$1:$A$500,K180)="","",INDEX(Candidates!$A$1:$A$500,K180))</f>
        <v>Dalbus Umbledore</v>
      </c>
      <c r="B180" s="85" t="str">
        <f aca="false">IF(A180="","",INDEX(Candidates!$C$1:$C$500,K180))</f>
        <v>Front-End Developer</v>
      </c>
      <c r="C180" s="85" t="str">
        <f aca="false">IF(A180="","",INDEX(Candidates!$D$1:$D$500,K180))</f>
        <v>Software Developer</v>
      </c>
      <c r="D180" s="85" t="n">
        <f aca="false">IF(A180="","",L180)</f>
        <v>4</v>
      </c>
      <c r="E180" s="85" t="str">
        <f aca="false">IF(A180="","",INDEX($O$2:$O$8,L180))</f>
        <v>Portfolio</v>
      </c>
      <c r="F180" s="85" t="str">
        <f aca="false">IF(A180="","",IF(ISNUMBER(INDEX(Candidates!$A$1:$Z$500,K180,INDEX($P$2:$P$8,L180))),INDEX(Candidates!$A$1:$Z$500,K180,INDEX($P$2:$P$8,L180)),""))</f>
        <v/>
      </c>
      <c r="G180" s="85" t="n">
        <f aca="false">IF(A180="","",INDEX($Q$2:$Q$8,L180))</f>
        <v>7</v>
      </c>
      <c r="H180" s="85" t="str">
        <f aca="false">IF(A180="","",IF(F180="","Not yet scored",IF(F180&gt;=G180,"Pass","Fail")))</f>
        <v>Not yet scored</v>
      </c>
      <c r="I180" s="85" t="str">
        <f aca="false">IF(A180="","",INDEX(Candidates!$B$1:$B$500,K180))</f>
        <v>Schedule Initial Meeting</v>
      </c>
      <c r="K180" s="86" t="n">
        <f aca="false">INT((ROW()-2)/7)+2</f>
        <v>27</v>
      </c>
      <c r="L180" s="86" t="n">
        <f aca="false">MOD(ROW()-2,7)+1</f>
        <v>4</v>
      </c>
    </row>
    <row r="181" customFormat="false" ht="15" hidden="false" customHeight="false" outlineLevel="0" collapsed="false">
      <c r="A181" s="85" t="str">
        <f aca="false">IF(INDEX(Candidates!$A$1:$A$500,K181)="","",INDEX(Candidates!$A$1:$A$500,K181))</f>
        <v>Dalbus Umbledore</v>
      </c>
      <c r="B181" s="85" t="str">
        <f aca="false">IF(A181="","",INDEX(Candidates!$C$1:$C$500,K181))</f>
        <v>Front-End Developer</v>
      </c>
      <c r="C181" s="85" t="str">
        <f aca="false">IF(A181="","",INDEX(Candidates!$D$1:$D$500,K181))</f>
        <v>Software Developer</v>
      </c>
      <c r="D181" s="85" t="n">
        <f aca="false">IF(A181="","",L181)</f>
        <v>5</v>
      </c>
      <c r="E181" s="85" t="str">
        <f aca="false">IF(A181="","",INDEX($O$2:$O$8,L181))</f>
        <v>Personality Assessment</v>
      </c>
      <c r="F181" s="85" t="str">
        <f aca="false">IF(A181="","",IF(ISNUMBER(INDEX(Candidates!$A$1:$Z$500,K181,INDEX($P$2:$P$8,L181))),INDEX(Candidates!$A$1:$Z$500,K181,INDEX($P$2:$P$8,L181)),""))</f>
        <v/>
      </c>
      <c r="G181" s="85" t="n">
        <f aca="false">IF(A181="","",INDEX($Q$2:$Q$8,L181))</f>
        <v>6</v>
      </c>
      <c r="H181" s="85" t="str">
        <f aca="false">IF(A181="","",IF(F181="","Not yet scored",IF(F181&gt;=G181,"Pass","Fail")))</f>
        <v>Not yet scored</v>
      </c>
      <c r="I181" s="85" t="str">
        <f aca="false">IF(A181="","",INDEX(Candidates!$B$1:$B$500,K181))</f>
        <v>Schedule Initial Meeting</v>
      </c>
      <c r="K181" s="86" t="n">
        <f aca="false">INT((ROW()-2)/7)+2</f>
        <v>27</v>
      </c>
      <c r="L181" s="86" t="n">
        <f aca="false">MOD(ROW()-2,7)+1</f>
        <v>5</v>
      </c>
    </row>
    <row r="182" customFormat="false" ht="15" hidden="false" customHeight="false" outlineLevel="0" collapsed="false">
      <c r="A182" s="85" t="str">
        <f aca="false">IF(INDEX(Candidates!$A$1:$A$500,K182)="","",INDEX(Candidates!$A$1:$A$500,K182))</f>
        <v>Dalbus Umbledore</v>
      </c>
      <c r="B182" s="85" t="str">
        <f aca="false">IF(A182="","",INDEX(Candidates!$C$1:$C$500,K182))</f>
        <v>Front-End Developer</v>
      </c>
      <c r="C182" s="85" t="str">
        <f aca="false">IF(A182="","",INDEX(Candidates!$D$1:$D$500,K182))</f>
        <v>Software Developer</v>
      </c>
      <c r="D182" s="85" t="n">
        <f aca="false">IF(A182="","",L182)</f>
        <v>6</v>
      </c>
      <c r="E182" s="85" t="str">
        <f aca="false">IF(A182="","",INDEX($O$2:$O$8,L182))</f>
        <v>Technical Interview</v>
      </c>
      <c r="F182" s="85" t="str">
        <f aca="false">IF(A182="","",IF(ISNUMBER(INDEX(Candidates!$A$1:$Z$500,K182,INDEX($P$2:$P$8,L182))),INDEX(Candidates!$A$1:$Z$500,K182,INDEX($P$2:$P$8,L182)),""))</f>
        <v/>
      </c>
      <c r="G182" s="85" t="n">
        <f aca="false">IF(A182="","",INDEX($Q$2:$Q$8,L182))</f>
        <v>8</v>
      </c>
      <c r="H182" s="85" t="str">
        <f aca="false">IF(A182="","",IF(F182="","Not yet scored",IF(F182&gt;=G182,"Pass","Fail")))</f>
        <v>Not yet scored</v>
      </c>
      <c r="I182" s="85" t="str">
        <f aca="false">IF(A182="","",INDEX(Candidates!$B$1:$B$500,K182))</f>
        <v>Schedule Initial Meeting</v>
      </c>
      <c r="K182" s="86" t="n">
        <f aca="false">INT((ROW()-2)/7)+2</f>
        <v>27</v>
      </c>
      <c r="L182" s="86" t="n">
        <f aca="false">MOD(ROW()-2,7)+1</f>
        <v>6</v>
      </c>
    </row>
    <row r="183" customFormat="false" ht="15" hidden="false" customHeight="false" outlineLevel="0" collapsed="false">
      <c r="A183" s="85" t="str">
        <f aca="false">IF(INDEX(Candidates!$A$1:$A$500,K183)="","",INDEX(Candidates!$A$1:$A$500,K183))</f>
        <v>Dalbus Umbledore</v>
      </c>
      <c r="B183" s="85" t="str">
        <f aca="false">IF(A183="","",INDEX(Candidates!$C$1:$C$500,K183))</f>
        <v>Front-End Developer</v>
      </c>
      <c r="C183" s="85" t="str">
        <f aca="false">IF(A183="","",INDEX(Candidates!$D$1:$D$500,K183))</f>
        <v>Software Developer</v>
      </c>
      <c r="D183" s="85" t="n">
        <f aca="false">IF(A183="","",L183)</f>
        <v>7</v>
      </c>
      <c r="E183" s="85" t="str">
        <f aca="false">IF(A183="","",INDEX($O$2:$O$8,L183))</f>
        <v>Final Interview</v>
      </c>
      <c r="F183" s="85" t="str">
        <f aca="false">IF(A183="","",IF(ISNUMBER(INDEX(Candidates!$A$1:$Z$500,K183,INDEX($P$2:$P$8,L183))),INDEX(Candidates!$A$1:$Z$500,K183,INDEX($P$2:$P$8,L183)),""))</f>
        <v/>
      </c>
      <c r="G183" s="85" t="n">
        <f aca="false">IF(A183="","",INDEX($Q$2:$Q$8,L183))</f>
        <v>8</v>
      </c>
      <c r="H183" s="85" t="str">
        <f aca="false">IF(A183="","",IF(F183="","Not yet scored",IF(F183&gt;=G183,"Pass","Fail")))</f>
        <v>Not yet scored</v>
      </c>
      <c r="I183" s="85" t="str">
        <f aca="false">IF(A183="","",INDEX(Candidates!$B$1:$B$500,K183))</f>
        <v>Schedule Initial Meeting</v>
      </c>
      <c r="K183" s="86" t="n">
        <f aca="false">INT((ROW()-2)/7)+2</f>
        <v>27</v>
      </c>
      <c r="L183" s="86" t="n">
        <f aca="false">MOD(ROW()-2,7)+1</f>
        <v>7</v>
      </c>
    </row>
    <row r="184" customFormat="false" ht="15" hidden="false" customHeight="false" outlineLevel="0" collapsed="false">
      <c r="A184" s="85" t="str">
        <f aca="false">IF(INDEX(Candidates!$A$1:$A$500,K184)="","",INDEX(Candidates!$A$1:$A$500,K184))</f>
        <v>Maco Dralfoy</v>
      </c>
      <c r="B184" s="85" t="str">
        <f aca="false">IF(A184="","",INDEX(Candidates!$C$1:$C$500,K184))</f>
        <v>Commercial Lead</v>
      </c>
      <c r="C184" s="85" t="str">
        <f aca="false">IF(A184="","",INDEX(Candidates!$D$1:$D$500,K184))</f>
        <v>Commercial Team</v>
      </c>
      <c r="D184" s="85" t="n">
        <f aca="false">IF(A184="","",L184)</f>
        <v>1</v>
      </c>
      <c r="E184" s="85" t="str">
        <f aca="false">IF(A184="","",INDEX($O$2:$O$8,L184))</f>
        <v>Resume Review</v>
      </c>
      <c r="F184" s="85" t="n">
        <f aca="false">IF(A184="","",IF(ISNUMBER(INDEX(Candidates!$A$1:$Z$500,K184,INDEX($P$2:$P$8,L184))),INDEX(Candidates!$A$1:$Z$500,K184,INDEX($P$2:$P$8,L184)),""))</f>
        <v>9</v>
      </c>
      <c r="G184" s="85" t="n">
        <f aca="false">IF(A184="","",INDEX($Q$2:$Q$8,L184))</f>
        <v>5</v>
      </c>
      <c r="H184" s="85" t="str">
        <f aca="false">IF(A184="","",IF(F184="","Not yet scored",IF(F184&gt;=G184,"Pass","Fail")))</f>
        <v>Pass</v>
      </c>
      <c r="I184" s="85" t="str">
        <f aca="false">IF(A184="","",INDEX(Candidates!$B$1:$B$500,K184))</f>
        <v>Schedule Initial Meeting</v>
      </c>
      <c r="K184" s="86" t="n">
        <f aca="false">INT((ROW()-2)/7)+2</f>
        <v>28</v>
      </c>
      <c r="L184" s="86" t="n">
        <f aca="false">MOD(ROW()-2,7)+1</f>
        <v>1</v>
      </c>
    </row>
    <row r="185" customFormat="false" ht="15" hidden="false" customHeight="false" outlineLevel="0" collapsed="false">
      <c r="A185" s="85" t="str">
        <f aca="false">IF(INDEX(Candidates!$A$1:$A$500,K185)="","",INDEX(Candidates!$A$1:$A$500,K185))</f>
        <v>Maco Dralfoy</v>
      </c>
      <c r="B185" s="85" t="str">
        <f aca="false">IF(A185="","",INDEX(Candidates!$C$1:$C$500,K185))</f>
        <v>Commercial Lead</v>
      </c>
      <c r="C185" s="85" t="str">
        <f aca="false">IF(A185="","",INDEX(Candidates!$D$1:$D$500,K185))</f>
        <v>Commercial Team</v>
      </c>
      <c r="D185" s="85" t="n">
        <f aca="false">IF(A185="","",L185)</f>
        <v>2</v>
      </c>
      <c r="E185" s="85" t="str">
        <f aca="false">IF(A185="","",INDEX($O$2:$O$8,L185))</f>
        <v>Tech Assessment</v>
      </c>
      <c r="F185" s="85" t="str">
        <f aca="false">IF(A185="","",IF(ISNUMBER(INDEX(Candidates!$A$1:$Z$500,K185,INDEX($P$2:$P$8,L185))),INDEX(Candidates!$A$1:$Z$500,K185,INDEX($P$2:$P$8,L185)),""))</f>
        <v/>
      </c>
      <c r="G185" s="85" t="n">
        <f aca="false">IF(A185="","",INDEX($Q$2:$Q$8,L185))</f>
        <v>7</v>
      </c>
      <c r="H185" s="85" t="str">
        <f aca="false">IF(A185="","",IF(F185="","Not yet scored",IF(F185&gt;=G185,"Pass","Fail")))</f>
        <v>Not yet scored</v>
      </c>
      <c r="I185" s="85" t="str">
        <f aca="false">IF(A185="","",INDEX(Candidates!$B$1:$B$500,K185))</f>
        <v>Schedule Initial Meeting</v>
      </c>
      <c r="K185" s="86" t="n">
        <f aca="false">INT((ROW()-2)/7)+2</f>
        <v>28</v>
      </c>
      <c r="L185" s="86" t="n">
        <f aca="false">MOD(ROW()-2,7)+1</f>
        <v>2</v>
      </c>
    </row>
    <row r="186" customFormat="false" ht="15" hidden="false" customHeight="false" outlineLevel="0" collapsed="false">
      <c r="A186" s="85" t="str">
        <f aca="false">IF(INDEX(Candidates!$A$1:$A$500,K186)="","",INDEX(Candidates!$A$1:$A$500,K186))</f>
        <v>Maco Dralfoy</v>
      </c>
      <c r="B186" s="85" t="str">
        <f aca="false">IF(A186="","",INDEX(Candidates!$C$1:$C$500,K186))</f>
        <v>Commercial Lead</v>
      </c>
      <c r="C186" s="85" t="str">
        <f aca="false">IF(A186="","",INDEX(Candidates!$D$1:$D$500,K186))</f>
        <v>Commercial Team</v>
      </c>
      <c r="D186" s="85" t="n">
        <f aca="false">IF(A186="","",L186)</f>
        <v>3</v>
      </c>
      <c r="E186" s="85" t="str">
        <f aca="false">IF(A186="","",INDEX($O$2:$O$8,L186))</f>
        <v>Initial Meeting</v>
      </c>
      <c r="F186" s="85" t="str">
        <f aca="false">IF(A186="","",IF(ISNUMBER(INDEX(Candidates!$A$1:$Z$500,K186,INDEX($P$2:$P$8,L186))),INDEX(Candidates!$A$1:$Z$500,K186,INDEX($P$2:$P$8,L186)),""))</f>
        <v/>
      </c>
      <c r="G186" s="85" t="n">
        <f aca="false">IF(A186="","",INDEX($Q$2:$Q$8,L186))</f>
        <v>6</v>
      </c>
      <c r="H186" s="85" t="str">
        <f aca="false">IF(A186="","",IF(F186="","Not yet scored",IF(F186&gt;=G186,"Pass","Fail")))</f>
        <v>Not yet scored</v>
      </c>
      <c r="I186" s="85" t="str">
        <f aca="false">IF(A186="","",INDEX(Candidates!$B$1:$B$500,K186))</f>
        <v>Schedule Initial Meeting</v>
      </c>
      <c r="K186" s="86" t="n">
        <f aca="false">INT((ROW()-2)/7)+2</f>
        <v>28</v>
      </c>
      <c r="L186" s="86" t="n">
        <f aca="false">MOD(ROW()-2,7)+1</f>
        <v>3</v>
      </c>
    </row>
    <row r="187" customFormat="false" ht="15" hidden="false" customHeight="false" outlineLevel="0" collapsed="false">
      <c r="A187" s="85" t="str">
        <f aca="false">IF(INDEX(Candidates!$A$1:$A$500,K187)="","",INDEX(Candidates!$A$1:$A$500,K187))</f>
        <v>Maco Dralfoy</v>
      </c>
      <c r="B187" s="85" t="str">
        <f aca="false">IF(A187="","",INDEX(Candidates!$C$1:$C$500,K187))</f>
        <v>Commercial Lead</v>
      </c>
      <c r="C187" s="85" t="str">
        <f aca="false">IF(A187="","",INDEX(Candidates!$D$1:$D$500,K187))</f>
        <v>Commercial Team</v>
      </c>
      <c r="D187" s="85" t="n">
        <f aca="false">IF(A187="","",L187)</f>
        <v>4</v>
      </c>
      <c r="E187" s="85" t="str">
        <f aca="false">IF(A187="","",INDEX($O$2:$O$8,L187))</f>
        <v>Portfolio</v>
      </c>
      <c r="F187" s="85" t="str">
        <f aca="false">IF(A187="","",IF(ISNUMBER(INDEX(Candidates!$A$1:$Z$500,K187,INDEX($P$2:$P$8,L187))),INDEX(Candidates!$A$1:$Z$500,K187,INDEX($P$2:$P$8,L187)),""))</f>
        <v/>
      </c>
      <c r="G187" s="85" t="n">
        <f aca="false">IF(A187="","",INDEX($Q$2:$Q$8,L187))</f>
        <v>7</v>
      </c>
      <c r="H187" s="85" t="str">
        <f aca="false">IF(A187="","",IF(F187="","Not yet scored",IF(F187&gt;=G187,"Pass","Fail")))</f>
        <v>Not yet scored</v>
      </c>
      <c r="I187" s="85" t="str">
        <f aca="false">IF(A187="","",INDEX(Candidates!$B$1:$B$500,K187))</f>
        <v>Schedule Initial Meeting</v>
      </c>
      <c r="K187" s="86" t="n">
        <f aca="false">INT((ROW()-2)/7)+2</f>
        <v>28</v>
      </c>
      <c r="L187" s="86" t="n">
        <f aca="false">MOD(ROW()-2,7)+1</f>
        <v>4</v>
      </c>
    </row>
    <row r="188" customFormat="false" ht="15" hidden="false" customHeight="false" outlineLevel="0" collapsed="false">
      <c r="A188" s="85" t="str">
        <f aca="false">IF(INDEX(Candidates!$A$1:$A$500,K188)="","",INDEX(Candidates!$A$1:$A$500,K188))</f>
        <v>Maco Dralfoy</v>
      </c>
      <c r="B188" s="85" t="str">
        <f aca="false">IF(A188="","",INDEX(Candidates!$C$1:$C$500,K188))</f>
        <v>Commercial Lead</v>
      </c>
      <c r="C188" s="85" t="str">
        <f aca="false">IF(A188="","",INDEX(Candidates!$D$1:$D$500,K188))</f>
        <v>Commercial Team</v>
      </c>
      <c r="D188" s="85" t="n">
        <f aca="false">IF(A188="","",L188)</f>
        <v>5</v>
      </c>
      <c r="E188" s="85" t="str">
        <f aca="false">IF(A188="","",INDEX($O$2:$O$8,L188))</f>
        <v>Personality Assessment</v>
      </c>
      <c r="F188" s="85" t="str">
        <f aca="false">IF(A188="","",IF(ISNUMBER(INDEX(Candidates!$A$1:$Z$500,K188,INDEX($P$2:$P$8,L188))),INDEX(Candidates!$A$1:$Z$500,K188,INDEX($P$2:$P$8,L188)),""))</f>
        <v/>
      </c>
      <c r="G188" s="85" t="n">
        <f aca="false">IF(A188="","",INDEX($Q$2:$Q$8,L188))</f>
        <v>6</v>
      </c>
      <c r="H188" s="85" t="str">
        <f aca="false">IF(A188="","",IF(F188="","Not yet scored",IF(F188&gt;=G188,"Pass","Fail")))</f>
        <v>Not yet scored</v>
      </c>
      <c r="I188" s="85" t="str">
        <f aca="false">IF(A188="","",INDEX(Candidates!$B$1:$B$500,K188))</f>
        <v>Schedule Initial Meeting</v>
      </c>
      <c r="K188" s="86" t="n">
        <f aca="false">INT((ROW()-2)/7)+2</f>
        <v>28</v>
      </c>
      <c r="L188" s="86" t="n">
        <f aca="false">MOD(ROW()-2,7)+1</f>
        <v>5</v>
      </c>
    </row>
    <row r="189" customFormat="false" ht="15" hidden="false" customHeight="false" outlineLevel="0" collapsed="false">
      <c r="A189" s="85" t="str">
        <f aca="false">IF(INDEX(Candidates!$A$1:$A$500,K189)="","",INDEX(Candidates!$A$1:$A$500,K189))</f>
        <v>Maco Dralfoy</v>
      </c>
      <c r="B189" s="85" t="str">
        <f aca="false">IF(A189="","",INDEX(Candidates!$C$1:$C$500,K189))</f>
        <v>Commercial Lead</v>
      </c>
      <c r="C189" s="85" t="str">
        <f aca="false">IF(A189="","",INDEX(Candidates!$D$1:$D$500,K189))</f>
        <v>Commercial Team</v>
      </c>
      <c r="D189" s="85" t="n">
        <f aca="false">IF(A189="","",L189)</f>
        <v>6</v>
      </c>
      <c r="E189" s="85" t="str">
        <f aca="false">IF(A189="","",INDEX($O$2:$O$8,L189))</f>
        <v>Technical Interview</v>
      </c>
      <c r="F189" s="85" t="str">
        <f aca="false">IF(A189="","",IF(ISNUMBER(INDEX(Candidates!$A$1:$Z$500,K189,INDEX($P$2:$P$8,L189))),INDEX(Candidates!$A$1:$Z$500,K189,INDEX($P$2:$P$8,L189)),""))</f>
        <v/>
      </c>
      <c r="G189" s="85" t="n">
        <f aca="false">IF(A189="","",INDEX($Q$2:$Q$8,L189))</f>
        <v>8</v>
      </c>
      <c r="H189" s="85" t="str">
        <f aca="false">IF(A189="","",IF(F189="","Not yet scored",IF(F189&gt;=G189,"Pass","Fail")))</f>
        <v>Not yet scored</v>
      </c>
      <c r="I189" s="85" t="str">
        <f aca="false">IF(A189="","",INDEX(Candidates!$B$1:$B$500,K189))</f>
        <v>Schedule Initial Meeting</v>
      </c>
      <c r="K189" s="86" t="n">
        <f aca="false">INT((ROW()-2)/7)+2</f>
        <v>28</v>
      </c>
      <c r="L189" s="86" t="n">
        <f aca="false">MOD(ROW()-2,7)+1</f>
        <v>6</v>
      </c>
    </row>
    <row r="190" customFormat="false" ht="15" hidden="false" customHeight="false" outlineLevel="0" collapsed="false">
      <c r="A190" s="85" t="str">
        <f aca="false">IF(INDEX(Candidates!$A$1:$A$500,K190)="","",INDEX(Candidates!$A$1:$A$500,K190))</f>
        <v>Maco Dralfoy</v>
      </c>
      <c r="B190" s="85" t="str">
        <f aca="false">IF(A190="","",INDEX(Candidates!$C$1:$C$500,K190))</f>
        <v>Commercial Lead</v>
      </c>
      <c r="C190" s="85" t="str">
        <f aca="false">IF(A190="","",INDEX(Candidates!$D$1:$D$500,K190))</f>
        <v>Commercial Team</v>
      </c>
      <c r="D190" s="85" t="n">
        <f aca="false">IF(A190="","",L190)</f>
        <v>7</v>
      </c>
      <c r="E190" s="85" t="str">
        <f aca="false">IF(A190="","",INDEX($O$2:$O$8,L190))</f>
        <v>Final Interview</v>
      </c>
      <c r="F190" s="85" t="str">
        <f aca="false">IF(A190="","",IF(ISNUMBER(INDEX(Candidates!$A$1:$Z$500,K190,INDEX($P$2:$P$8,L190))),INDEX(Candidates!$A$1:$Z$500,K190,INDEX($P$2:$P$8,L190)),""))</f>
        <v/>
      </c>
      <c r="G190" s="85" t="n">
        <f aca="false">IF(A190="","",INDEX($Q$2:$Q$8,L190))</f>
        <v>8</v>
      </c>
      <c r="H190" s="85" t="str">
        <f aca="false">IF(A190="","",IF(F190="","Not yet scored",IF(F190&gt;=G190,"Pass","Fail")))</f>
        <v>Not yet scored</v>
      </c>
      <c r="I190" s="85" t="str">
        <f aca="false">IF(A190="","",INDEX(Candidates!$B$1:$B$500,K190))</f>
        <v>Schedule Initial Meeting</v>
      </c>
      <c r="K190" s="86" t="n">
        <f aca="false">INT((ROW()-2)/7)+2</f>
        <v>28</v>
      </c>
      <c r="L190" s="86" t="n">
        <f aca="false">MOD(ROW()-2,7)+1</f>
        <v>7</v>
      </c>
    </row>
    <row r="191" customFormat="false" ht="15" hidden="false" customHeight="false" outlineLevel="0" collapsed="false">
      <c r="A191" s="85" t="str">
        <f aca="false">IF(INDEX(Candidates!$A$1:$A$500,K191)="","",INDEX(Candidates!$A$1:$A$500,K191))</f>
        <v>Lemis Rupin</v>
      </c>
      <c r="B191" s="85" t="str">
        <f aca="false">IF(A191="","",INDEX(Candidates!$C$1:$C$500,K191))</f>
        <v>Infrastructure Developer</v>
      </c>
      <c r="C191" s="85" t="str">
        <f aca="false">IF(A191="","",INDEX(Candidates!$D$1:$D$500,K191))</f>
        <v>Software Developer</v>
      </c>
      <c r="D191" s="85" t="n">
        <f aca="false">IF(A191="","",L191)</f>
        <v>1</v>
      </c>
      <c r="E191" s="85" t="str">
        <f aca="false">IF(A191="","",INDEX($O$2:$O$8,L191))</f>
        <v>Resume Review</v>
      </c>
      <c r="F191" s="85" t="n">
        <f aca="false">IF(A191="","",IF(ISNUMBER(INDEX(Candidates!$A$1:$Z$500,K191,INDEX($P$2:$P$8,L191))),INDEX(Candidates!$A$1:$Z$500,K191,INDEX($P$2:$P$8,L191)),""))</f>
        <v>9</v>
      </c>
      <c r="G191" s="85" t="n">
        <f aca="false">IF(A191="","",INDEX($Q$2:$Q$8,L191))</f>
        <v>5</v>
      </c>
      <c r="H191" s="85" t="str">
        <f aca="false">IF(A191="","",IF(F191="","Not yet scored",IF(F191&gt;=G191,"Pass","Fail")))</f>
        <v>Pass</v>
      </c>
      <c r="I191" s="85" t="str">
        <f aca="false">IF(A191="","",INDEX(Candidates!$B$1:$B$500,K191))</f>
        <v>Schedule Initial Meeting</v>
      </c>
      <c r="K191" s="86" t="n">
        <f aca="false">INT((ROW()-2)/7)+2</f>
        <v>29</v>
      </c>
      <c r="L191" s="86" t="n">
        <f aca="false">MOD(ROW()-2,7)+1</f>
        <v>1</v>
      </c>
    </row>
    <row r="192" customFormat="false" ht="15" hidden="false" customHeight="false" outlineLevel="0" collapsed="false">
      <c r="A192" s="85" t="str">
        <f aca="false">IF(INDEX(Candidates!$A$1:$A$500,K192)="","",INDEX(Candidates!$A$1:$A$500,K192))</f>
        <v>Lemis Rupin</v>
      </c>
      <c r="B192" s="85" t="str">
        <f aca="false">IF(A192="","",INDEX(Candidates!$C$1:$C$500,K192))</f>
        <v>Infrastructure Developer</v>
      </c>
      <c r="C192" s="85" t="str">
        <f aca="false">IF(A192="","",INDEX(Candidates!$D$1:$D$500,K192))</f>
        <v>Software Developer</v>
      </c>
      <c r="D192" s="85" t="n">
        <f aca="false">IF(A192="","",L192)</f>
        <v>2</v>
      </c>
      <c r="E192" s="85" t="str">
        <f aca="false">IF(A192="","",INDEX($O$2:$O$8,L192))</f>
        <v>Tech Assessment</v>
      </c>
      <c r="F192" s="85" t="str">
        <f aca="false">IF(A192="","",IF(ISNUMBER(INDEX(Candidates!$A$1:$Z$500,K192,INDEX($P$2:$P$8,L192))),INDEX(Candidates!$A$1:$Z$500,K192,INDEX($P$2:$P$8,L192)),""))</f>
        <v/>
      </c>
      <c r="G192" s="85" t="n">
        <f aca="false">IF(A192="","",INDEX($Q$2:$Q$8,L192))</f>
        <v>7</v>
      </c>
      <c r="H192" s="85" t="str">
        <f aca="false">IF(A192="","",IF(F192="","Not yet scored",IF(F192&gt;=G192,"Pass","Fail")))</f>
        <v>Not yet scored</v>
      </c>
      <c r="I192" s="85" t="str">
        <f aca="false">IF(A192="","",INDEX(Candidates!$B$1:$B$500,K192))</f>
        <v>Schedule Initial Meeting</v>
      </c>
      <c r="K192" s="86" t="n">
        <f aca="false">INT((ROW()-2)/7)+2</f>
        <v>29</v>
      </c>
      <c r="L192" s="86" t="n">
        <f aca="false">MOD(ROW()-2,7)+1</f>
        <v>2</v>
      </c>
    </row>
    <row r="193" customFormat="false" ht="15" hidden="false" customHeight="false" outlineLevel="0" collapsed="false">
      <c r="A193" s="85" t="str">
        <f aca="false">IF(INDEX(Candidates!$A$1:$A$500,K193)="","",INDEX(Candidates!$A$1:$A$500,K193))</f>
        <v>Lemis Rupin</v>
      </c>
      <c r="B193" s="85" t="str">
        <f aca="false">IF(A193="","",INDEX(Candidates!$C$1:$C$500,K193))</f>
        <v>Infrastructure Developer</v>
      </c>
      <c r="C193" s="85" t="str">
        <f aca="false">IF(A193="","",INDEX(Candidates!$D$1:$D$500,K193))</f>
        <v>Software Developer</v>
      </c>
      <c r="D193" s="85" t="n">
        <f aca="false">IF(A193="","",L193)</f>
        <v>3</v>
      </c>
      <c r="E193" s="85" t="str">
        <f aca="false">IF(A193="","",INDEX($O$2:$O$8,L193))</f>
        <v>Initial Meeting</v>
      </c>
      <c r="F193" s="85" t="str">
        <f aca="false">IF(A193="","",IF(ISNUMBER(INDEX(Candidates!$A$1:$Z$500,K193,INDEX($P$2:$P$8,L193))),INDEX(Candidates!$A$1:$Z$500,K193,INDEX($P$2:$P$8,L193)),""))</f>
        <v/>
      </c>
      <c r="G193" s="85" t="n">
        <f aca="false">IF(A193="","",INDEX($Q$2:$Q$8,L193))</f>
        <v>6</v>
      </c>
      <c r="H193" s="85" t="str">
        <f aca="false">IF(A193="","",IF(F193="","Not yet scored",IF(F193&gt;=G193,"Pass","Fail")))</f>
        <v>Not yet scored</v>
      </c>
      <c r="I193" s="85" t="str">
        <f aca="false">IF(A193="","",INDEX(Candidates!$B$1:$B$500,K193))</f>
        <v>Schedule Initial Meeting</v>
      </c>
      <c r="K193" s="86" t="n">
        <f aca="false">INT((ROW()-2)/7)+2</f>
        <v>29</v>
      </c>
      <c r="L193" s="86" t="n">
        <f aca="false">MOD(ROW()-2,7)+1</f>
        <v>3</v>
      </c>
    </row>
    <row r="194" customFormat="false" ht="15" hidden="false" customHeight="false" outlineLevel="0" collapsed="false">
      <c r="A194" s="85" t="str">
        <f aca="false">IF(INDEX(Candidates!$A$1:$A$500,K194)="","",INDEX(Candidates!$A$1:$A$500,K194))</f>
        <v>Lemis Rupin</v>
      </c>
      <c r="B194" s="85" t="str">
        <f aca="false">IF(A194="","",INDEX(Candidates!$C$1:$C$500,K194))</f>
        <v>Infrastructure Developer</v>
      </c>
      <c r="C194" s="85" t="str">
        <f aca="false">IF(A194="","",INDEX(Candidates!$D$1:$D$500,K194))</f>
        <v>Software Developer</v>
      </c>
      <c r="D194" s="85" t="n">
        <f aca="false">IF(A194="","",L194)</f>
        <v>4</v>
      </c>
      <c r="E194" s="85" t="str">
        <f aca="false">IF(A194="","",INDEX($O$2:$O$8,L194))</f>
        <v>Portfolio</v>
      </c>
      <c r="F194" s="85" t="str">
        <f aca="false">IF(A194="","",IF(ISNUMBER(INDEX(Candidates!$A$1:$Z$500,K194,INDEX($P$2:$P$8,L194))),INDEX(Candidates!$A$1:$Z$500,K194,INDEX($P$2:$P$8,L194)),""))</f>
        <v/>
      </c>
      <c r="G194" s="85" t="n">
        <f aca="false">IF(A194="","",INDEX($Q$2:$Q$8,L194))</f>
        <v>7</v>
      </c>
      <c r="H194" s="85" t="str">
        <f aca="false">IF(A194="","",IF(F194="","Not yet scored",IF(F194&gt;=G194,"Pass","Fail")))</f>
        <v>Not yet scored</v>
      </c>
      <c r="I194" s="85" t="str">
        <f aca="false">IF(A194="","",INDEX(Candidates!$B$1:$B$500,K194))</f>
        <v>Schedule Initial Meeting</v>
      </c>
      <c r="K194" s="86" t="n">
        <f aca="false">INT((ROW()-2)/7)+2</f>
        <v>29</v>
      </c>
      <c r="L194" s="86" t="n">
        <f aca="false">MOD(ROW()-2,7)+1</f>
        <v>4</v>
      </c>
    </row>
    <row r="195" customFormat="false" ht="15" hidden="false" customHeight="false" outlineLevel="0" collapsed="false">
      <c r="A195" s="85" t="str">
        <f aca="false">IF(INDEX(Candidates!$A$1:$A$500,K195)="","",INDEX(Candidates!$A$1:$A$500,K195))</f>
        <v>Lemis Rupin</v>
      </c>
      <c r="B195" s="85" t="str">
        <f aca="false">IF(A195="","",INDEX(Candidates!$C$1:$C$500,K195))</f>
        <v>Infrastructure Developer</v>
      </c>
      <c r="C195" s="85" t="str">
        <f aca="false">IF(A195="","",INDEX(Candidates!$D$1:$D$500,K195))</f>
        <v>Software Developer</v>
      </c>
      <c r="D195" s="85" t="n">
        <f aca="false">IF(A195="","",L195)</f>
        <v>5</v>
      </c>
      <c r="E195" s="85" t="str">
        <f aca="false">IF(A195="","",INDEX($O$2:$O$8,L195))</f>
        <v>Personality Assessment</v>
      </c>
      <c r="F195" s="85" t="str">
        <f aca="false">IF(A195="","",IF(ISNUMBER(INDEX(Candidates!$A$1:$Z$500,K195,INDEX($P$2:$P$8,L195))),INDEX(Candidates!$A$1:$Z$500,K195,INDEX($P$2:$P$8,L195)),""))</f>
        <v/>
      </c>
      <c r="G195" s="85" t="n">
        <f aca="false">IF(A195="","",INDEX($Q$2:$Q$8,L195))</f>
        <v>6</v>
      </c>
      <c r="H195" s="85" t="str">
        <f aca="false">IF(A195="","",IF(F195="","Not yet scored",IF(F195&gt;=G195,"Pass","Fail")))</f>
        <v>Not yet scored</v>
      </c>
      <c r="I195" s="85" t="str">
        <f aca="false">IF(A195="","",INDEX(Candidates!$B$1:$B$500,K195))</f>
        <v>Schedule Initial Meeting</v>
      </c>
      <c r="K195" s="86" t="n">
        <f aca="false">INT((ROW()-2)/7)+2</f>
        <v>29</v>
      </c>
      <c r="L195" s="86" t="n">
        <f aca="false">MOD(ROW()-2,7)+1</f>
        <v>5</v>
      </c>
    </row>
    <row r="196" customFormat="false" ht="15" hidden="false" customHeight="false" outlineLevel="0" collapsed="false">
      <c r="A196" s="85" t="str">
        <f aca="false">IF(INDEX(Candidates!$A$1:$A$500,K196)="","",INDEX(Candidates!$A$1:$A$500,K196))</f>
        <v>Lemis Rupin</v>
      </c>
      <c r="B196" s="85" t="str">
        <f aca="false">IF(A196="","",INDEX(Candidates!$C$1:$C$500,K196))</f>
        <v>Infrastructure Developer</v>
      </c>
      <c r="C196" s="85" t="str">
        <f aca="false">IF(A196="","",INDEX(Candidates!$D$1:$D$500,K196))</f>
        <v>Software Developer</v>
      </c>
      <c r="D196" s="85" t="n">
        <f aca="false">IF(A196="","",L196)</f>
        <v>6</v>
      </c>
      <c r="E196" s="85" t="str">
        <f aca="false">IF(A196="","",INDEX($O$2:$O$8,L196))</f>
        <v>Technical Interview</v>
      </c>
      <c r="F196" s="85" t="str">
        <f aca="false">IF(A196="","",IF(ISNUMBER(INDEX(Candidates!$A$1:$Z$500,K196,INDEX($P$2:$P$8,L196))),INDEX(Candidates!$A$1:$Z$500,K196,INDEX($P$2:$P$8,L196)),""))</f>
        <v/>
      </c>
      <c r="G196" s="85" t="n">
        <f aca="false">IF(A196="","",INDEX($Q$2:$Q$8,L196))</f>
        <v>8</v>
      </c>
      <c r="H196" s="85" t="str">
        <f aca="false">IF(A196="","",IF(F196="","Not yet scored",IF(F196&gt;=G196,"Pass","Fail")))</f>
        <v>Not yet scored</v>
      </c>
      <c r="I196" s="85" t="str">
        <f aca="false">IF(A196="","",INDEX(Candidates!$B$1:$B$500,K196))</f>
        <v>Schedule Initial Meeting</v>
      </c>
      <c r="K196" s="86" t="n">
        <f aca="false">INT((ROW()-2)/7)+2</f>
        <v>29</v>
      </c>
      <c r="L196" s="86" t="n">
        <f aca="false">MOD(ROW()-2,7)+1</f>
        <v>6</v>
      </c>
    </row>
    <row r="197" customFormat="false" ht="15" hidden="false" customHeight="false" outlineLevel="0" collapsed="false">
      <c r="A197" s="85" t="str">
        <f aca="false">IF(INDEX(Candidates!$A$1:$A$500,K197)="","",INDEX(Candidates!$A$1:$A$500,K197))</f>
        <v>Lemis Rupin</v>
      </c>
      <c r="B197" s="85" t="str">
        <f aca="false">IF(A197="","",INDEX(Candidates!$C$1:$C$500,K197))</f>
        <v>Infrastructure Developer</v>
      </c>
      <c r="C197" s="85" t="str">
        <f aca="false">IF(A197="","",INDEX(Candidates!$D$1:$D$500,K197))</f>
        <v>Software Developer</v>
      </c>
      <c r="D197" s="85" t="n">
        <f aca="false">IF(A197="","",L197)</f>
        <v>7</v>
      </c>
      <c r="E197" s="85" t="str">
        <f aca="false">IF(A197="","",INDEX($O$2:$O$8,L197))</f>
        <v>Final Interview</v>
      </c>
      <c r="F197" s="85" t="str">
        <f aca="false">IF(A197="","",IF(ISNUMBER(INDEX(Candidates!$A$1:$Z$500,K197,INDEX($P$2:$P$8,L197))),INDEX(Candidates!$A$1:$Z$500,K197,INDEX($P$2:$P$8,L197)),""))</f>
        <v/>
      </c>
      <c r="G197" s="85" t="n">
        <f aca="false">IF(A197="","",INDEX($Q$2:$Q$8,L197))</f>
        <v>8</v>
      </c>
      <c r="H197" s="85" t="str">
        <f aca="false">IF(A197="","",IF(F197="","Not yet scored",IF(F197&gt;=G197,"Pass","Fail")))</f>
        <v>Not yet scored</v>
      </c>
      <c r="I197" s="85" t="str">
        <f aca="false">IF(A197="","",INDEX(Candidates!$B$1:$B$500,K197))</f>
        <v>Schedule Initial Meeting</v>
      </c>
      <c r="K197" s="86" t="n">
        <f aca="false">INT((ROW()-2)/7)+2</f>
        <v>29</v>
      </c>
      <c r="L197" s="86" t="n">
        <f aca="false">MOD(ROW()-2,7)+1</f>
        <v>7</v>
      </c>
    </row>
    <row r="198" customFormat="false" ht="15" hidden="false" customHeight="false" outlineLevel="0" collapsed="false">
      <c r="A198" s="85" t="str">
        <f aca="false">IF(INDEX(Candidates!$A$1:$A$500,K198)="","",INDEX(Candidates!$A$1:$A$500,K198))</f>
        <v>Merhrdad Pirnia</v>
      </c>
      <c r="B198" s="85" t="str">
        <f aca="false">IF(A198="","",INDEX(Candidates!$C$1:$C$500,K198))</f>
        <v>Back-End Developer</v>
      </c>
      <c r="C198" s="85" t="str">
        <f aca="false">IF(A198="","",INDEX(Candidates!$D$1:$D$500,K198))</f>
        <v>Software Developer</v>
      </c>
      <c r="D198" s="85" t="n">
        <f aca="false">IF(A198="","",L198)</f>
        <v>1</v>
      </c>
      <c r="E198" s="85" t="str">
        <f aca="false">IF(A198="","",INDEX($O$2:$O$8,L198))</f>
        <v>Resume Review</v>
      </c>
      <c r="F198" s="85" t="n">
        <f aca="false">IF(A198="","",IF(ISNUMBER(INDEX(Candidates!$A$1:$Z$500,K198,INDEX($P$2:$P$8,L198))),INDEX(Candidates!$A$1:$Z$500,K198,INDEX($P$2:$P$8,L198)),""))</f>
        <v>9</v>
      </c>
      <c r="G198" s="85" t="n">
        <f aca="false">IF(A198="","",INDEX($Q$2:$Q$8,L198))</f>
        <v>5</v>
      </c>
      <c r="H198" s="85" t="str">
        <f aca="false">IF(A198="","",IF(F198="","Not yet scored",IF(F198&gt;=G198,"Pass","Fail")))</f>
        <v>Pass</v>
      </c>
      <c r="I198" s="85" t="str">
        <f aca="false">IF(A198="","",INDEX(Candidates!$B$1:$B$500,K198))</f>
        <v>Schedule Initial Meeting</v>
      </c>
      <c r="K198" s="86" t="n">
        <f aca="false">INT((ROW()-2)/7)+2</f>
        <v>30</v>
      </c>
      <c r="L198" s="86" t="n">
        <f aca="false">MOD(ROW()-2,7)+1</f>
        <v>1</v>
      </c>
    </row>
    <row r="199" customFormat="false" ht="15" hidden="false" customHeight="false" outlineLevel="0" collapsed="false">
      <c r="A199" s="85" t="str">
        <f aca="false">IF(INDEX(Candidates!$A$1:$A$500,K199)="","",INDEX(Candidates!$A$1:$A$500,K199))</f>
        <v>Merhrdad Pirnia</v>
      </c>
      <c r="B199" s="85" t="str">
        <f aca="false">IF(A199="","",INDEX(Candidates!$C$1:$C$500,K199))</f>
        <v>Back-End Developer</v>
      </c>
      <c r="C199" s="85" t="str">
        <f aca="false">IF(A199="","",INDEX(Candidates!$D$1:$D$500,K199))</f>
        <v>Software Developer</v>
      </c>
      <c r="D199" s="85" t="n">
        <f aca="false">IF(A199="","",L199)</f>
        <v>2</v>
      </c>
      <c r="E199" s="85" t="str">
        <f aca="false">IF(A199="","",INDEX($O$2:$O$8,L199))</f>
        <v>Tech Assessment</v>
      </c>
      <c r="F199" s="85" t="str">
        <f aca="false">IF(A199="","",IF(ISNUMBER(INDEX(Candidates!$A$1:$Z$500,K199,INDEX($P$2:$P$8,L199))),INDEX(Candidates!$A$1:$Z$500,K199,INDEX($P$2:$P$8,L199)),""))</f>
        <v/>
      </c>
      <c r="G199" s="85" t="n">
        <f aca="false">IF(A199="","",INDEX($Q$2:$Q$8,L199))</f>
        <v>7</v>
      </c>
      <c r="H199" s="85" t="str">
        <f aca="false">IF(A199="","",IF(F199="","Not yet scored",IF(F199&gt;=G199,"Pass","Fail")))</f>
        <v>Not yet scored</v>
      </c>
      <c r="I199" s="85" t="str">
        <f aca="false">IF(A199="","",INDEX(Candidates!$B$1:$B$500,K199))</f>
        <v>Schedule Initial Meeting</v>
      </c>
      <c r="K199" s="86" t="n">
        <f aca="false">INT((ROW()-2)/7)+2</f>
        <v>30</v>
      </c>
      <c r="L199" s="86" t="n">
        <f aca="false">MOD(ROW()-2,7)+1</f>
        <v>2</v>
      </c>
    </row>
    <row r="200" customFormat="false" ht="15" hidden="false" customHeight="false" outlineLevel="0" collapsed="false">
      <c r="A200" s="85" t="str">
        <f aca="false">IF(INDEX(Candidates!$A$1:$A$500,K200)="","",INDEX(Candidates!$A$1:$A$500,K200))</f>
        <v>Merhrdad Pirnia</v>
      </c>
      <c r="B200" s="85" t="str">
        <f aca="false">IF(A200="","",INDEX(Candidates!$C$1:$C$500,K200))</f>
        <v>Back-End Developer</v>
      </c>
      <c r="C200" s="85" t="str">
        <f aca="false">IF(A200="","",INDEX(Candidates!$D$1:$D$500,K200))</f>
        <v>Software Developer</v>
      </c>
      <c r="D200" s="85" t="n">
        <f aca="false">IF(A200="","",L200)</f>
        <v>3</v>
      </c>
      <c r="E200" s="85" t="str">
        <f aca="false">IF(A200="","",INDEX($O$2:$O$8,L200))</f>
        <v>Initial Meeting</v>
      </c>
      <c r="F200" s="85" t="str">
        <f aca="false">IF(A200="","",IF(ISNUMBER(INDEX(Candidates!$A$1:$Z$500,K200,INDEX($P$2:$P$8,L200))),INDEX(Candidates!$A$1:$Z$500,K200,INDEX($P$2:$P$8,L200)),""))</f>
        <v/>
      </c>
      <c r="G200" s="85" t="n">
        <f aca="false">IF(A200="","",INDEX($Q$2:$Q$8,L200))</f>
        <v>6</v>
      </c>
      <c r="H200" s="85" t="str">
        <f aca="false">IF(A200="","",IF(F200="","Not yet scored",IF(F200&gt;=G200,"Pass","Fail")))</f>
        <v>Not yet scored</v>
      </c>
      <c r="I200" s="85" t="str">
        <f aca="false">IF(A200="","",INDEX(Candidates!$B$1:$B$500,K200))</f>
        <v>Schedule Initial Meeting</v>
      </c>
      <c r="K200" s="86" t="n">
        <f aca="false">INT((ROW()-2)/7)+2</f>
        <v>30</v>
      </c>
      <c r="L200" s="86" t="n">
        <f aca="false">MOD(ROW()-2,7)+1</f>
        <v>3</v>
      </c>
    </row>
    <row r="201" customFormat="false" ht="15" hidden="false" customHeight="false" outlineLevel="0" collapsed="false">
      <c r="A201" s="85" t="str">
        <f aca="false">IF(INDEX(Candidates!$A$1:$A$500,K201)="","",INDEX(Candidates!$A$1:$A$500,K201))</f>
        <v>Merhrdad Pirnia</v>
      </c>
      <c r="B201" s="85" t="str">
        <f aca="false">IF(A201="","",INDEX(Candidates!$C$1:$C$500,K201))</f>
        <v>Back-End Developer</v>
      </c>
      <c r="C201" s="85" t="str">
        <f aca="false">IF(A201="","",INDEX(Candidates!$D$1:$D$500,K201))</f>
        <v>Software Developer</v>
      </c>
      <c r="D201" s="85" t="n">
        <f aca="false">IF(A201="","",L201)</f>
        <v>4</v>
      </c>
      <c r="E201" s="85" t="str">
        <f aca="false">IF(A201="","",INDEX($O$2:$O$8,L201))</f>
        <v>Portfolio</v>
      </c>
      <c r="F201" s="85" t="str">
        <f aca="false">IF(A201="","",IF(ISNUMBER(INDEX(Candidates!$A$1:$Z$500,K201,INDEX($P$2:$P$8,L201))),INDEX(Candidates!$A$1:$Z$500,K201,INDEX($P$2:$P$8,L201)),""))</f>
        <v/>
      </c>
      <c r="G201" s="85" t="n">
        <f aca="false">IF(A201="","",INDEX($Q$2:$Q$8,L201))</f>
        <v>7</v>
      </c>
      <c r="H201" s="85" t="str">
        <f aca="false">IF(A201="","",IF(F201="","Not yet scored",IF(F201&gt;=G201,"Pass","Fail")))</f>
        <v>Not yet scored</v>
      </c>
      <c r="I201" s="85" t="str">
        <f aca="false">IF(A201="","",INDEX(Candidates!$B$1:$B$500,K201))</f>
        <v>Schedule Initial Meeting</v>
      </c>
      <c r="K201" s="86" t="n">
        <f aca="false">INT((ROW()-2)/7)+2</f>
        <v>30</v>
      </c>
      <c r="L201" s="86" t="n">
        <f aca="false">MOD(ROW()-2,7)+1</f>
        <v>4</v>
      </c>
    </row>
    <row r="202" customFormat="false" ht="15" hidden="false" customHeight="false" outlineLevel="0" collapsed="false">
      <c r="A202" s="85" t="str">
        <f aca="false">IF(INDEX(Candidates!$A$1:$A$500,K202)="","",INDEX(Candidates!$A$1:$A$500,K202))</f>
        <v>Merhrdad Pirnia</v>
      </c>
      <c r="B202" s="85" t="str">
        <f aca="false">IF(A202="","",INDEX(Candidates!$C$1:$C$500,K202))</f>
        <v>Back-End Developer</v>
      </c>
      <c r="C202" s="85" t="str">
        <f aca="false">IF(A202="","",INDEX(Candidates!$D$1:$D$500,K202))</f>
        <v>Software Developer</v>
      </c>
      <c r="D202" s="85" t="n">
        <f aca="false">IF(A202="","",L202)</f>
        <v>5</v>
      </c>
      <c r="E202" s="85" t="str">
        <f aca="false">IF(A202="","",INDEX($O$2:$O$8,L202))</f>
        <v>Personality Assessment</v>
      </c>
      <c r="F202" s="85" t="str">
        <f aca="false">IF(A202="","",IF(ISNUMBER(INDEX(Candidates!$A$1:$Z$500,K202,INDEX($P$2:$P$8,L202))),INDEX(Candidates!$A$1:$Z$500,K202,INDEX($P$2:$P$8,L202)),""))</f>
        <v/>
      </c>
      <c r="G202" s="85" t="n">
        <f aca="false">IF(A202="","",INDEX($Q$2:$Q$8,L202))</f>
        <v>6</v>
      </c>
      <c r="H202" s="85" t="str">
        <f aca="false">IF(A202="","",IF(F202="","Not yet scored",IF(F202&gt;=G202,"Pass","Fail")))</f>
        <v>Not yet scored</v>
      </c>
      <c r="I202" s="85" t="str">
        <f aca="false">IF(A202="","",INDEX(Candidates!$B$1:$B$500,K202))</f>
        <v>Schedule Initial Meeting</v>
      </c>
      <c r="K202" s="86" t="n">
        <f aca="false">INT((ROW()-2)/7)+2</f>
        <v>30</v>
      </c>
      <c r="L202" s="86" t="n">
        <f aca="false">MOD(ROW()-2,7)+1</f>
        <v>5</v>
      </c>
    </row>
    <row r="203" customFormat="false" ht="15" hidden="false" customHeight="false" outlineLevel="0" collapsed="false">
      <c r="A203" s="85" t="str">
        <f aca="false">IF(INDEX(Candidates!$A$1:$A$500,K203)="","",INDEX(Candidates!$A$1:$A$500,K203))</f>
        <v>Merhrdad Pirnia</v>
      </c>
      <c r="B203" s="85" t="str">
        <f aca="false">IF(A203="","",INDEX(Candidates!$C$1:$C$500,K203))</f>
        <v>Back-End Developer</v>
      </c>
      <c r="C203" s="85" t="str">
        <f aca="false">IF(A203="","",INDEX(Candidates!$D$1:$D$500,K203))</f>
        <v>Software Developer</v>
      </c>
      <c r="D203" s="85" t="n">
        <f aca="false">IF(A203="","",L203)</f>
        <v>6</v>
      </c>
      <c r="E203" s="85" t="str">
        <f aca="false">IF(A203="","",INDEX($O$2:$O$8,L203))</f>
        <v>Technical Interview</v>
      </c>
      <c r="F203" s="85" t="str">
        <f aca="false">IF(A203="","",IF(ISNUMBER(INDEX(Candidates!$A$1:$Z$500,K203,INDEX($P$2:$P$8,L203))),INDEX(Candidates!$A$1:$Z$500,K203,INDEX($P$2:$P$8,L203)),""))</f>
        <v/>
      </c>
      <c r="G203" s="85" t="n">
        <f aca="false">IF(A203="","",INDEX($Q$2:$Q$8,L203))</f>
        <v>8</v>
      </c>
      <c r="H203" s="85" t="str">
        <f aca="false">IF(A203="","",IF(F203="","Not yet scored",IF(F203&gt;=G203,"Pass","Fail")))</f>
        <v>Not yet scored</v>
      </c>
      <c r="I203" s="85" t="str">
        <f aca="false">IF(A203="","",INDEX(Candidates!$B$1:$B$500,K203))</f>
        <v>Schedule Initial Meeting</v>
      </c>
      <c r="K203" s="86" t="n">
        <f aca="false">INT((ROW()-2)/7)+2</f>
        <v>30</v>
      </c>
      <c r="L203" s="86" t="n">
        <f aca="false">MOD(ROW()-2,7)+1</f>
        <v>6</v>
      </c>
    </row>
    <row r="204" customFormat="false" ht="15" hidden="false" customHeight="false" outlineLevel="0" collapsed="false">
      <c r="A204" s="85" t="str">
        <f aca="false">IF(INDEX(Candidates!$A$1:$A$500,K204)="","",INDEX(Candidates!$A$1:$A$500,K204))</f>
        <v>Merhrdad Pirnia</v>
      </c>
      <c r="B204" s="85" t="str">
        <f aca="false">IF(A204="","",INDEX(Candidates!$C$1:$C$500,K204))</f>
        <v>Back-End Developer</v>
      </c>
      <c r="C204" s="85" t="str">
        <f aca="false">IF(A204="","",INDEX(Candidates!$D$1:$D$500,K204))</f>
        <v>Software Developer</v>
      </c>
      <c r="D204" s="85" t="n">
        <f aca="false">IF(A204="","",L204)</f>
        <v>7</v>
      </c>
      <c r="E204" s="85" t="str">
        <f aca="false">IF(A204="","",INDEX($O$2:$O$8,L204))</f>
        <v>Final Interview</v>
      </c>
      <c r="F204" s="85" t="str">
        <f aca="false">IF(A204="","",IF(ISNUMBER(INDEX(Candidates!$A$1:$Z$500,K204,INDEX($P$2:$P$8,L204))),INDEX(Candidates!$A$1:$Z$500,K204,INDEX($P$2:$P$8,L204)),""))</f>
        <v/>
      </c>
      <c r="G204" s="85" t="n">
        <f aca="false">IF(A204="","",INDEX($Q$2:$Q$8,L204))</f>
        <v>8</v>
      </c>
      <c r="H204" s="85" t="str">
        <f aca="false">IF(A204="","",IF(F204="","Not yet scored",IF(F204&gt;=G204,"Pass","Fail")))</f>
        <v>Not yet scored</v>
      </c>
      <c r="I204" s="85" t="str">
        <f aca="false">IF(A204="","",INDEX(Candidates!$B$1:$B$500,K204))</f>
        <v>Schedule Initial Meeting</v>
      </c>
      <c r="K204" s="86" t="n">
        <f aca="false">INT((ROW()-2)/7)+2</f>
        <v>30</v>
      </c>
      <c r="L204" s="86" t="n">
        <f aca="false">MOD(ROW()-2,7)+1</f>
        <v>7</v>
      </c>
    </row>
    <row r="205" customFormat="false" ht="15" hidden="false" customHeight="false" outlineLevel="0" collapsed="false">
      <c r="A205" s="85" t="str">
        <f aca="false">IF(INDEX(Candidates!$A$1:$A$500,K205)="","",INDEX(Candidates!$A$1:$A$500,K205))</f>
        <v/>
      </c>
      <c r="B205" s="85" t="str">
        <f aca="false">IF(A205="","",INDEX(Candidates!$C$1:$C$500,K205))</f>
        <v/>
      </c>
      <c r="C205" s="85" t="str">
        <f aca="false">IF(A205="","",INDEX(Candidates!$D$1:$D$500,K205))</f>
        <v/>
      </c>
      <c r="D205" s="85" t="str">
        <f aca="false">IF(A205="","",L205)</f>
        <v/>
      </c>
      <c r="E205" s="85" t="str">
        <f aca="false">IF(A205="","",INDEX($O$2:$O$8,L205))</f>
        <v/>
      </c>
      <c r="F205" s="85" t="str">
        <f aca="false">IF(A205="","",IF(ISNUMBER(INDEX(Candidates!$A$1:$Z$500,K205,INDEX($P$2:$P$8,L205))),INDEX(Candidates!$A$1:$Z$500,K205,INDEX($P$2:$P$8,L205)),""))</f>
        <v/>
      </c>
      <c r="G205" s="85" t="str">
        <f aca="false">IF(A205="","",INDEX($Q$2:$Q$8,L205))</f>
        <v/>
      </c>
      <c r="H205" s="85" t="str">
        <f aca="false">IF(A205="","",IF(F205="","Not yet scored",IF(F205&gt;=G205,"Pass","Fail")))</f>
        <v/>
      </c>
      <c r="I205" s="85" t="str">
        <f aca="false">IF(A205="","",INDEX(Candidates!$B$1:$B$500,K205))</f>
        <v/>
      </c>
      <c r="K205" s="86" t="n">
        <f aca="false">INT((ROW()-2)/7)+2</f>
        <v>31</v>
      </c>
      <c r="L205" s="86" t="n">
        <f aca="false">MOD(ROW()-2,7)+1</f>
        <v>1</v>
      </c>
    </row>
    <row r="206" customFormat="false" ht="15" hidden="false" customHeight="false" outlineLevel="0" collapsed="false">
      <c r="A206" s="85" t="str">
        <f aca="false">IF(INDEX(Candidates!$A$1:$A$500,K206)="","",INDEX(Candidates!$A$1:$A$500,K206))</f>
        <v/>
      </c>
      <c r="B206" s="85" t="str">
        <f aca="false">IF(A206="","",INDEX(Candidates!$C$1:$C$500,K206))</f>
        <v/>
      </c>
      <c r="C206" s="85" t="str">
        <f aca="false">IF(A206="","",INDEX(Candidates!$D$1:$D$500,K206))</f>
        <v/>
      </c>
      <c r="D206" s="85" t="str">
        <f aca="false">IF(A206="","",L206)</f>
        <v/>
      </c>
      <c r="E206" s="85" t="str">
        <f aca="false">IF(A206="","",INDEX($O$2:$O$8,L206))</f>
        <v/>
      </c>
      <c r="F206" s="85" t="str">
        <f aca="false">IF(A206="","",IF(ISNUMBER(INDEX(Candidates!$A$1:$Z$500,K206,INDEX($P$2:$P$8,L206))),INDEX(Candidates!$A$1:$Z$500,K206,INDEX($P$2:$P$8,L206)),""))</f>
        <v/>
      </c>
      <c r="G206" s="85" t="str">
        <f aca="false">IF(A206="","",INDEX($Q$2:$Q$8,L206))</f>
        <v/>
      </c>
      <c r="H206" s="85" t="str">
        <f aca="false">IF(A206="","",IF(F206="","Not yet scored",IF(F206&gt;=G206,"Pass","Fail")))</f>
        <v/>
      </c>
      <c r="I206" s="85" t="str">
        <f aca="false">IF(A206="","",INDEX(Candidates!$B$1:$B$500,K206))</f>
        <v/>
      </c>
      <c r="K206" s="86" t="n">
        <f aca="false">INT((ROW()-2)/7)+2</f>
        <v>31</v>
      </c>
      <c r="L206" s="86" t="n">
        <f aca="false">MOD(ROW()-2,7)+1</f>
        <v>2</v>
      </c>
    </row>
    <row r="207" customFormat="false" ht="15" hidden="false" customHeight="false" outlineLevel="0" collapsed="false">
      <c r="A207" s="85" t="str">
        <f aca="false">IF(INDEX(Candidates!$A$1:$A$500,K207)="","",INDEX(Candidates!$A$1:$A$500,K207))</f>
        <v/>
      </c>
      <c r="B207" s="85" t="str">
        <f aca="false">IF(A207="","",INDEX(Candidates!$C$1:$C$500,K207))</f>
        <v/>
      </c>
      <c r="C207" s="85" t="str">
        <f aca="false">IF(A207="","",INDEX(Candidates!$D$1:$D$500,K207))</f>
        <v/>
      </c>
      <c r="D207" s="85" t="str">
        <f aca="false">IF(A207="","",L207)</f>
        <v/>
      </c>
      <c r="E207" s="85" t="str">
        <f aca="false">IF(A207="","",INDEX($O$2:$O$8,L207))</f>
        <v/>
      </c>
      <c r="F207" s="85" t="str">
        <f aca="false">IF(A207="","",IF(ISNUMBER(INDEX(Candidates!$A$1:$Z$500,K207,INDEX($P$2:$P$8,L207))),INDEX(Candidates!$A$1:$Z$500,K207,INDEX($P$2:$P$8,L207)),""))</f>
        <v/>
      </c>
      <c r="G207" s="85" t="str">
        <f aca="false">IF(A207="","",INDEX($Q$2:$Q$8,L207))</f>
        <v/>
      </c>
      <c r="H207" s="85" t="str">
        <f aca="false">IF(A207="","",IF(F207="","Not yet scored",IF(F207&gt;=G207,"Pass","Fail")))</f>
        <v/>
      </c>
      <c r="I207" s="85" t="str">
        <f aca="false">IF(A207="","",INDEX(Candidates!$B$1:$B$500,K207))</f>
        <v/>
      </c>
      <c r="K207" s="86" t="n">
        <f aca="false">INT((ROW()-2)/7)+2</f>
        <v>31</v>
      </c>
      <c r="L207" s="86" t="n">
        <f aca="false">MOD(ROW()-2,7)+1</f>
        <v>3</v>
      </c>
    </row>
    <row r="208" customFormat="false" ht="15" hidden="false" customHeight="false" outlineLevel="0" collapsed="false">
      <c r="A208" s="85" t="str">
        <f aca="false">IF(INDEX(Candidates!$A$1:$A$500,K208)="","",INDEX(Candidates!$A$1:$A$500,K208))</f>
        <v/>
      </c>
      <c r="B208" s="85" t="str">
        <f aca="false">IF(A208="","",INDEX(Candidates!$C$1:$C$500,K208))</f>
        <v/>
      </c>
      <c r="C208" s="85" t="str">
        <f aca="false">IF(A208="","",INDEX(Candidates!$D$1:$D$500,K208))</f>
        <v/>
      </c>
      <c r="D208" s="85" t="str">
        <f aca="false">IF(A208="","",L208)</f>
        <v/>
      </c>
      <c r="E208" s="85" t="str">
        <f aca="false">IF(A208="","",INDEX($O$2:$O$8,L208))</f>
        <v/>
      </c>
      <c r="F208" s="85" t="str">
        <f aca="false">IF(A208="","",IF(ISNUMBER(INDEX(Candidates!$A$1:$Z$500,K208,INDEX($P$2:$P$8,L208))),INDEX(Candidates!$A$1:$Z$500,K208,INDEX($P$2:$P$8,L208)),""))</f>
        <v/>
      </c>
      <c r="G208" s="85" t="str">
        <f aca="false">IF(A208="","",INDEX($Q$2:$Q$8,L208))</f>
        <v/>
      </c>
      <c r="H208" s="85" t="str">
        <f aca="false">IF(A208="","",IF(F208="","Not yet scored",IF(F208&gt;=G208,"Pass","Fail")))</f>
        <v/>
      </c>
      <c r="I208" s="85" t="str">
        <f aca="false">IF(A208="","",INDEX(Candidates!$B$1:$B$500,K208))</f>
        <v/>
      </c>
      <c r="K208" s="86" t="n">
        <f aca="false">INT((ROW()-2)/7)+2</f>
        <v>31</v>
      </c>
      <c r="L208" s="86" t="n">
        <f aca="false">MOD(ROW()-2,7)+1</f>
        <v>4</v>
      </c>
    </row>
    <row r="209" customFormat="false" ht="15" hidden="false" customHeight="false" outlineLevel="0" collapsed="false">
      <c r="A209" s="85" t="str">
        <f aca="false">IF(INDEX(Candidates!$A$1:$A$500,K209)="","",INDEX(Candidates!$A$1:$A$500,K209))</f>
        <v/>
      </c>
      <c r="B209" s="85" t="str">
        <f aca="false">IF(A209="","",INDEX(Candidates!$C$1:$C$500,K209))</f>
        <v/>
      </c>
      <c r="C209" s="85" t="str">
        <f aca="false">IF(A209="","",INDEX(Candidates!$D$1:$D$500,K209))</f>
        <v/>
      </c>
      <c r="D209" s="85" t="str">
        <f aca="false">IF(A209="","",L209)</f>
        <v/>
      </c>
      <c r="E209" s="85" t="str">
        <f aca="false">IF(A209="","",INDEX($O$2:$O$8,L209))</f>
        <v/>
      </c>
      <c r="F209" s="85" t="str">
        <f aca="false">IF(A209="","",IF(ISNUMBER(INDEX(Candidates!$A$1:$Z$500,K209,INDEX($P$2:$P$8,L209))),INDEX(Candidates!$A$1:$Z$500,K209,INDEX($P$2:$P$8,L209)),""))</f>
        <v/>
      </c>
      <c r="G209" s="85" t="str">
        <f aca="false">IF(A209="","",INDEX($Q$2:$Q$8,L209))</f>
        <v/>
      </c>
      <c r="H209" s="85" t="str">
        <f aca="false">IF(A209="","",IF(F209="","Not yet scored",IF(F209&gt;=G209,"Pass","Fail")))</f>
        <v/>
      </c>
      <c r="I209" s="85" t="str">
        <f aca="false">IF(A209="","",INDEX(Candidates!$B$1:$B$500,K209))</f>
        <v/>
      </c>
      <c r="K209" s="86" t="n">
        <f aca="false">INT((ROW()-2)/7)+2</f>
        <v>31</v>
      </c>
      <c r="L209" s="86" t="n">
        <f aca="false">MOD(ROW()-2,7)+1</f>
        <v>5</v>
      </c>
    </row>
    <row r="210" customFormat="false" ht="15" hidden="false" customHeight="false" outlineLevel="0" collapsed="false">
      <c r="A210" s="85" t="str">
        <f aca="false">IF(INDEX(Candidates!$A$1:$A$500,K210)="","",INDEX(Candidates!$A$1:$A$500,K210))</f>
        <v/>
      </c>
      <c r="B210" s="85" t="str">
        <f aca="false">IF(A210="","",INDEX(Candidates!$C$1:$C$500,K210))</f>
        <v/>
      </c>
      <c r="C210" s="85" t="str">
        <f aca="false">IF(A210="","",INDEX(Candidates!$D$1:$D$500,K210))</f>
        <v/>
      </c>
      <c r="D210" s="85" t="str">
        <f aca="false">IF(A210="","",L210)</f>
        <v/>
      </c>
      <c r="E210" s="85" t="str">
        <f aca="false">IF(A210="","",INDEX($O$2:$O$8,L210))</f>
        <v/>
      </c>
      <c r="F210" s="85" t="str">
        <f aca="false">IF(A210="","",IF(ISNUMBER(INDEX(Candidates!$A$1:$Z$500,K210,INDEX($P$2:$P$8,L210))),INDEX(Candidates!$A$1:$Z$500,K210,INDEX($P$2:$P$8,L210)),""))</f>
        <v/>
      </c>
      <c r="G210" s="85" t="str">
        <f aca="false">IF(A210="","",INDEX($Q$2:$Q$8,L210))</f>
        <v/>
      </c>
      <c r="H210" s="85" t="str">
        <f aca="false">IF(A210="","",IF(F210="","Not yet scored",IF(F210&gt;=G210,"Pass","Fail")))</f>
        <v/>
      </c>
      <c r="I210" s="85" t="str">
        <f aca="false">IF(A210="","",INDEX(Candidates!$B$1:$B$500,K210))</f>
        <v/>
      </c>
      <c r="K210" s="86" t="n">
        <f aca="false">INT((ROW()-2)/7)+2</f>
        <v>31</v>
      </c>
      <c r="L210" s="86" t="n">
        <f aca="false">MOD(ROW()-2,7)+1</f>
        <v>6</v>
      </c>
    </row>
    <row r="211" customFormat="false" ht="15" hidden="false" customHeight="false" outlineLevel="0" collapsed="false">
      <c r="A211" s="85" t="str">
        <f aca="false">IF(INDEX(Candidates!$A$1:$A$500,K211)="","",INDEX(Candidates!$A$1:$A$500,K211))</f>
        <v/>
      </c>
      <c r="B211" s="85" t="str">
        <f aca="false">IF(A211="","",INDEX(Candidates!$C$1:$C$500,K211))</f>
        <v/>
      </c>
      <c r="C211" s="85" t="str">
        <f aca="false">IF(A211="","",INDEX(Candidates!$D$1:$D$500,K211))</f>
        <v/>
      </c>
      <c r="D211" s="85" t="str">
        <f aca="false">IF(A211="","",L211)</f>
        <v/>
      </c>
      <c r="E211" s="85" t="str">
        <f aca="false">IF(A211="","",INDEX($O$2:$O$8,L211))</f>
        <v/>
      </c>
      <c r="F211" s="85" t="str">
        <f aca="false">IF(A211="","",IF(ISNUMBER(INDEX(Candidates!$A$1:$Z$500,K211,INDEX($P$2:$P$8,L211))),INDEX(Candidates!$A$1:$Z$500,K211,INDEX($P$2:$P$8,L211)),""))</f>
        <v/>
      </c>
      <c r="G211" s="85" t="str">
        <f aca="false">IF(A211="","",INDEX($Q$2:$Q$8,L211))</f>
        <v/>
      </c>
      <c r="H211" s="85" t="str">
        <f aca="false">IF(A211="","",IF(F211="","Not yet scored",IF(F211&gt;=G211,"Pass","Fail")))</f>
        <v/>
      </c>
      <c r="I211" s="85" t="str">
        <f aca="false">IF(A211="","",INDEX(Candidates!$B$1:$B$500,K211))</f>
        <v/>
      </c>
      <c r="K211" s="86" t="n">
        <f aca="false">INT((ROW()-2)/7)+2</f>
        <v>31</v>
      </c>
      <c r="L211" s="86" t="n">
        <f aca="false">MOD(ROW()-2,7)+1</f>
        <v>7</v>
      </c>
    </row>
    <row r="212" customFormat="false" ht="15" hidden="false" customHeight="false" outlineLevel="0" collapsed="false">
      <c r="A212" s="85" t="str">
        <f aca="false">IF(INDEX(Candidates!$A$1:$A$500,K212)="","",INDEX(Candidates!$A$1:$A$500,K212))</f>
        <v/>
      </c>
      <c r="B212" s="85" t="str">
        <f aca="false">IF(A212="","",INDEX(Candidates!$C$1:$C$500,K212))</f>
        <v/>
      </c>
      <c r="C212" s="85" t="str">
        <f aca="false">IF(A212="","",INDEX(Candidates!$D$1:$D$500,K212))</f>
        <v/>
      </c>
      <c r="D212" s="85" t="str">
        <f aca="false">IF(A212="","",L212)</f>
        <v/>
      </c>
      <c r="E212" s="85" t="str">
        <f aca="false">IF(A212="","",INDEX($O$2:$O$8,L212))</f>
        <v/>
      </c>
      <c r="F212" s="85" t="str">
        <f aca="false">IF(A212="","",IF(ISNUMBER(INDEX(Candidates!$A$1:$Z$500,K212,INDEX($P$2:$P$8,L212))),INDEX(Candidates!$A$1:$Z$500,K212,INDEX($P$2:$P$8,L212)),""))</f>
        <v/>
      </c>
      <c r="G212" s="85" t="str">
        <f aca="false">IF(A212="","",INDEX($Q$2:$Q$8,L212))</f>
        <v/>
      </c>
      <c r="H212" s="85" t="str">
        <f aca="false">IF(A212="","",IF(F212="","Not yet scored",IF(F212&gt;=G212,"Pass","Fail")))</f>
        <v/>
      </c>
      <c r="I212" s="85" t="str">
        <f aca="false">IF(A212="","",INDEX(Candidates!$B$1:$B$500,K212))</f>
        <v/>
      </c>
      <c r="K212" s="86" t="n">
        <f aca="false">INT((ROW()-2)/7)+2</f>
        <v>32</v>
      </c>
      <c r="L212" s="86" t="n">
        <f aca="false">MOD(ROW()-2,7)+1</f>
        <v>1</v>
      </c>
    </row>
    <row r="213" customFormat="false" ht="15" hidden="false" customHeight="false" outlineLevel="0" collapsed="false">
      <c r="A213" s="85" t="str">
        <f aca="false">IF(INDEX(Candidates!$A$1:$A$500,K213)="","",INDEX(Candidates!$A$1:$A$500,K213))</f>
        <v/>
      </c>
      <c r="B213" s="85" t="str">
        <f aca="false">IF(A213="","",INDEX(Candidates!$C$1:$C$500,K213))</f>
        <v/>
      </c>
      <c r="C213" s="85" t="str">
        <f aca="false">IF(A213="","",INDEX(Candidates!$D$1:$D$500,K213))</f>
        <v/>
      </c>
      <c r="D213" s="85" t="str">
        <f aca="false">IF(A213="","",L213)</f>
        <v/>
      </c>
      <c r="E213" s="85" t="str">
        <f aca="false">IF(A213="","",INDEX($O$2:$O$8,L213))</f>
        <v/>
      </c>
      <c r="F213" s="85" t="str">
        <f aca="false">IF(A213="","",IF(ISNUMBER(INDEX(Candidates!$A$1:$Z$500,K213,INDEX($P$2:$P$8,L213))),INDEX(Candidates!$A$1:$Z$500,K213,INDEX($P$2:$P$8,L213)),""))</f>
        <v/>
      </c>
      <c r="G213" s="85" t="str">
        <f aca="false">IF(A213="","",INDEX($Q$2:$Q$8,L213))</f>
        <v/>
      </c>
      <c r="H213" s="85" t="str">
        <f aca="false">IF(A213="","",IF(F213="","Not yet scored",IF(F213&gt;=G213,"Pass","Fail")))</f>
        <v/>
      </c>
      <c r="I213" s="85" t="str">
        <f aca="false">IF(A213="","",INDEX(Candidates!$B$1:$B$500,K213))</f>
        <v/>
      </c>
      <c r="K213" s="86" t="n">
        <f aca="false">INT((ROW()-2)/7)+2</f>
        <v>32</v>
      </c>
      <c r="L213" s="86" t="n">
        <f aca="false">MOD(ROW()-2,7)+1</f>
        <v>2</v>
      </c>
    </row>
    <row r="214" customFormat="false" ht="15" hidden="false" customHeight="false" outlineLevel="0" collapsed="false">
      <c r="A214" s="85" t="str">
        <f aca="false">IF(INDEX(Candidates!$A$1:$A$500,K214)="","",INDEX(Candidates!$A$1:$A$500,K214))</f>
        <v/>
      </c>
      <c r="B214" s="85" t="str">
        <f aca="false">IF(A214="","",INDEX(Candidates!$C$1:$C$500,K214))</f>
        <v/>
      </c>
      <c r="C214" s="85" t="str">
        <f aca="false">IF(A214="","",INDEX(Candidates!$D$1:$D$500,K214))</f>
        <v/>
      </c>
      <c r="D214" s="85" t="str">
        <f aca="false">IF(A214="","",L214)</f>
        <v/>
      </c>
      <c r="E214" s="85" t="str">
        <f aca="false">IF(A214="","",INDEX($O$2:$O$8,L214))</f>
        <v/>
      </c>
      <c r="F214" s="85" t="str">
        <f aca="false">IF(A214="","",IF(ISNUMBER(INDEX(Candidates!$A$1:$Z$500,K214,INDEX($P$2:$P$8,L214))),INDEX(Candidates!$A$1:$Z$500,K214,INDEX($P$2:$P$8,L214)),""))</f>
        <v/>
      </c>
      <c r="G214" s="85" t="str">
        <f aca="false">IF(A214="","",INDEX($Q$2:$Q$8,L214))</f>
        <v/>
      </c>
      <c r="H214" s="85" t="str">
        <f aca="false">IF(A214="","",IF(F214="","Not yet scored",IF(F214&gt;=G214,"Pass","Fail")))</f>
        <v/>
      </c>
      <c r="I214" s="85" t="str">
        <f aca="false">IF(A214="","",INDEX(Candidates!$B$1:$B$500,K214))</f>
        <v/>
      </c>
      <c r="K214" s="86" t="n">
        <f aca="false">INT((ROW()-2)/7)+2</f>
        <v>32</v>
      </c>
      <c r="L214" s="86" t="n">
        <f aca="false">MOD(ROW()-2,7)+1</f>
        <v>3</v>
      </c>
    </row>
    <row r="215" customFormat="false" ht="15" hidden="false" customHeight="false" outlineLevel="0" collapsed="false">
      <c r="A215" s="85" t="str">
        <f aca="false">IF(INDEX(Candidates!$A$1:$A$500,K215)="","",INDEX(Candidates!$A$1:$A$500,K215))</f>
        <v/>
      </c>
      <c r="B215" s="85" t="str">
        <f aca="false">IF(A215="","",INDEX(Candidates!$C$1:$C$500,K215))</f>
        <v/>
      </c>
      <c r="C215" s="85" t="str">
        <f aca="false">IF(A215="","",INDEX(Candidates!$D$1:$D$500,K215))</f>
        <v/>
      </c>
      <c r="D215" s="85" t="str">
        <f aca="false">IF(A215="","",L215)</f>
        <v/>
      </c>
      <c r="E215" s="85" t="str">
        <f aca="false">IF(A215="","",INDEX($O$2:$O$8,L215))</f>
        <v/>
      </c>
      <c r="F215" s="85" t="str">
        <f aca="false">IF(A215="","",IF(ISNUMBER(INDEX(Candidates!$A$1:$Z$500,K215,INDEX($P$2:$P$8,L215))),INDEX(Candidates!$A$1:$Z$500,K215,INDEX($P$2:$P$8,L215)),""))</f>
        <v/>
      </c>
      <c r="G215" s="85" t="str">
        <f aca="false">IF(A215="","",INDEX($Q$2:$Q$8,L215))</f>
        <v/>
      </c>
      <c r="H215" s="85" t="str">
        <f aca="false">IF(A215="","",IF(F215="","Not yet scored",IF(F215&gt;=G215,"Pass","Fail")))</f>
        <v/>
      </c>
      <c r="I215" s="85" t="str">
        <f aca="false">IF(A215="","",INDEX(Candidates!$B$1:$B$500,K215))</f>
        <v/>
      </c>
      <c r="K215" s="86" t="n">
        <f aca="false">INT((ROW()-2)/7)+2</f>
        <v>32</v>
      </c>
      <c r="L215" s="86" t="n">
        <f aca="false">MOD(ROW()-2,7)+1</f>
        <v>4</v>
      </c>
    </row>
    <row r="216" customFormat="false" ht="15" hidden="false" customHeight="false" outlineLevel="0" collapsed="false">
      <c r="A216" s="85" t="str">
        <f aca="false">IF(INDEX(Candidates!$A$1:$A$500,K216)="","",INDEX(Candidates!$A$1:$A$500,K216))</f>
        <v/>
      </c>
      <c r="B216" s="85" t="str">
        <f aca="false">IF(A216="","",INDEX(Candidates!$C$1:$C$500,K216))</f>
        <v/>
      </c>
      <c r="C216" s="85" t="str">
        <f aca="false">IF(A216="","",INDEX(Candidates!$D$1:$D$500,K216))</f>
        <v/>
      </c>
      <c r="D216" s="85" t="str">
        <f aca="false">IF(A216="","",L216)</f>
        <v/>
      </c>
      <c r="E216" s="85" t="str">
        <f aca="false">IF(A216="","",INDEX($O$2:$O$8,L216))</f>
        <v/>
      </c>
      <c r="F216" s="85" t="str">
        <f aca="false">IF(A216="","",IF(ISNUMBER(INDEX(Candidates!$A$1:$Z$500,K216,INDEX($P$2:$P$8,L216))),INDEX(Candidates!$A$1:$Z$500,K216,INDEX($P$2:$P$8,L216)),""))</f>
        <v/>
      </c>
      <c r="G216" s="85" t="str">
        <f aca="false">IF(A216="","",INDEX($Q$2:$Q$8,L216))</f>
        <v/>
      </c>
      <c r="H216" s="85" t="str">
        <f aca="false">IF(A216="","",IF(F216="","Not yet scored",IF(F216&gt;=G216,"Pass","Fail")))</f>
        <v/>
      </c>
      <c r="I216" s="85" t="str">
        <f aca="false">IF(A216="","",INDEX(Candidates!$B$1:$B$500,K216))</f>
        <v/>
      </c>
      <c r="K216" s="86" t="n">
        <f aca="false">INT((ROW()-2)/7)+2</f>
        <v>32</v>
      </c>
      <c r="L216" s="86" t="n">
        <f aca="false">MOD(ROW()-2,7)+1</f>
        <v>5</v>
      </c>
    </row>
    <row r="217" customFormat="false" ht="15" hidden="false" customHeight="false" outlineLevel="0" collapsed="false">
      <c r="A217" s="85" t="str">
        <f aca="false">IF(INDEX(Candidates!$A$1:$A$500,K217)="","",INDEX(Candidates!$A$1:$A$500,K217))</f>
        <v/>
      </c>
      <c r="B217" s="85" t="str">
        <f aca="false">IF(A217="","",INDEX(Candidates!$C$1:$C$500,K217))</f>
        <v/>
      </c>
      <c r="C217" s="85" t="str">
        <f aca="false">IF(A217="","",INDEX(Candidates!$D$1:$D$500,K217))</f>
        <v/>
      </c>
      <c r="D217" s="85" t="str">
        <f aca="false">IF(A217="","",L217)</f>
        <v/>
      </c>
      <c r="E217" s="85" t="str">
        <f aca="false">IF(A217="","",INDEX($O$2:$O$8,L217))</f>
        <v/>
      </c>
      <c r="F217" s="85" t="str">
        <f aca="false">IF(A217="","",IF(ISNUMBER(INDEX(Candidates!$A$1:$Z$500,K217,INDEX($P$2:$P$8,L217))),INDEX(Candidates!$A$1:$Z$500,K217,INDEX($P$2:$P$8,L217)),""))</f>
        <v/>
      </c>
      <c r="G217" s="85" t="str">
        <f aca="false">IF(A217="","",INDEX($Q$2:$Q$8,L217))</f>
        <v/>
      </c>
      <c r="H217" s="85" t="str">
        <f aca="false">IF(A217="","",IF(F217="","Not yet scored",IF(F217&gt;=G217,"Pass","Fail")))</f>
        <v/>
      </c>
      <c r="I217" s="85" t="str">
        <f aca="false">IF(A217="","",INDEX(Candidates!$B$1:$B$500,K217))</f>
        <v/>
      </c>
      <c r="K217" s="86" t="n">
        <f aca="false">INT((ROW()-2)/7)+2</f>
        <v>32</v>
      </c>
      <c r="L217" s="86" t="n">
        <f aca="false">MOD(ROW()-2,7)+1</f>
        <v>6</v>
      </c>
    </row>
    <row r="218" customFormat="false" ht="15" hidden="false" customHeight="false" outlineLevel="0" collapsed="false">
      <c r="A218" s="85" t="str">
        <f aca="false">IF(INDEX(Candidates!$A$1:$A$500,K218)="","",INDEX(Candidates!$A$1:$A$500,K218))</f>
        <v/>
      </c>
      <c r="B218" s="85" t="str">
        <f aca="false">IF(A218="","",INDEX(Candidates!$C$1:$C$500,K218))</f>
        <v/>
      </c>
      <c r="C218" s="85" t="str">
        <f aca="false">IF(A218="","",INDEX(Candidates!$D$1:$D$500,K218))</f>
        <v/>
      </c>
      <c r="D218" s="85" t="str">
        <f aca="false">IF(A218="","",L218)</f>
        <v/>
      </c>
      <c r="E218" s="85" t="str">
        <f aca="false">IF(A218="","",INDEX($O$2:$O$8,L218))</f>
        <v/>
      </c>
      <c r="F218" s="85" t="str">
        <f aca="false">IF(A218="","",IF(ISNUMBER(INDEX(Candidates!$A$1:$Z$500,K218,INDEX($P$2:$P$8,L218))),INDEX(Candidates!$A$1:$Z$500,K218,INDEX($P$2:$P$8,L218)),""))</f>
        <v/>
      </c>
      <c r="G218" s="85" t="str">
        <f aca="false">IF(A218="","",INDEX($Q$2:$Q$8,L218))</f>
        <v/>
      </c>
      <c r="H218" s="85" t="str">
        <f aca="false">IF(A218="","",IF(F218="","Not yet scored",IF(F218&gt;=G218,"Pass","Fail")))</f>
        <v/>
      </c>
      <c r="I218" s="85" t="str">
        <f aca="false">IF(A218="","",INDEX(Candidates!$B$1:$B$500,K218))</f>
        <v/>
      </c>
      <c r="K218" s="86" t="n">
        <f aca="false">INT((ROW()-2)/7)+2</f>
        <v>32</v>
      </c>
      <c r="L218" s="86" t="n">
        <f aca="false">MOD(ROW()-2,7)+1</f>
        <v>7</v>
      </c>
    </row>
    <row r="219" customFormat="false" ht="15" hidden="false" customHeight="false" outlineLevel="0" collapsed="false">
      <c r="A219" s="85" t="str">
        <f aca="false">IF(INDEX(Candidates!$A$1:$A$500,K219)="","",INDEX(Candidates!$A$1:$A$500,K219))</f>
        <v/>
      </c>
      <c r="B219" s="85" t="str">
        <f aca="false">IF(A219="","",INDEX(Candidates!$C$1:$C$500,K219))</f>
        <v/>
      </c>
      <c r="C219" s="85" t="str">
        <f aca="false">IF(A219="","",INDEX(Candidates!$D$1:$D$500,K219))</f>
        <v/>
      </c>
      <c r="D219" s="85" t="str">
        <f aca="false">IF(A219="","",L219)</f>
        <v/>
      </c>
      <c r="E219" s="85" t="str">
        <f aca="false">IF(A219="","",INDEX($O$2:$O$8,L219))</f>
        <v/>
      </c>
      <c r="F219" s="85" t="str">
        <f aca="false">IF(A219="","",IF(ISNUMBER(INDEX(Candidates!$A$1:$Z$500,K219,INDEX($P$2:$P$8,L219))),INDEX(Candidates!$A$1:$Z$500,K219,INDEX($P$2:$P$8,L219)),""))</f>
        <v/>
      </c>
      <c r="G219" s="85" t="str">
        <f aca="false">IF(A219="","",INDEX($Q$2:$Q$8,L219))</f>
        <v/>
      </c>
      <c r="H219" s="85" t="str">
        <f aca="false">IF(A219="","",IF(F219="","Not yet scored",IF(F219&gt;=G219,"Pass","Fail")))</f>
        <v/>
      </c>
      <c r="I219" s="85" t="str">
        <f aca="false">IF(A219="","",INDEX(Candidates!$B$1:$B$500,K219))</f>
        <v/>
      </c>
      <c r="K219" s="86" t="n">
        <f aca="false">INT((ROW()-2)/7)+2</f>
        <v>33</v>
      </c>
      <c r="L219" s="86" t="n">
        <f aca="false">MOD(ROW()-2,7)+1</f>
        <v>1</v>
      </c>
    </row>
    <row r="220" customFormat="false" ht="15" hidden="false" customHeight="false" outlineLevel="0" collapsed="false">
      <c r="A220" s="85" t="str">
        <f aca="false">IF(INDEX(Candidates!$A$1:$A$500,K220)="","",INDEX(Candidates!$A$1:$A$500,K220))</f>
        <v/>
      </c>
      <c r="B220" s="85" t="str">
        <f aca="false">IF(A220="","",INDEX(Candidates!$C$1:$C$500,K220))</f>
        <v/>
      </c>
      <c r="C220" s="85" t="str">
        <f aca="false">IF(A220="","",INDEX(Candidates!$D$1:$D$500,K220))</f>
        <v/>
      </c>
      <c r="D220" s="85" t="str">
        <f aca="false">IF(A220="","",L220)</f>
        <v/>
      </c>
      <c r="E220" s="85" t="str">
        <f aca="false">IF(A220="","",INDEX($O$2:$O$8,L220))</f>
        <v/>
      </c>
      <c r="F220" s="85" t="str">
        <f aca="false">IF(A220="","",IF(ISNUMBER(INDEX(Candidates!$A$1:$Z$500,K220,INDEX($P$2:$P$8,L220))),INDEX(Candidates!$A$1:$Z$500,K220,INDEX($P$2:$P$8,L220)),""))</f>
        <v/>
      </c>
      <c r="G220" s="85" t="str">
        <f aca="false">IF(A220="","",INDEX($Q$2:$Q$8,L220))</f>
        <v/>
      </c>
      <c r="H220" s="85" t="str">
        <f aca="false">IF(A220="","",IF(F220="","Not yet scored",IF(F220&gt;=G220,"Pass","Fail")))</f>
        <v/>
      </c>
      <c r="I220" s="85" t="str">
        <f aca="false">IF(A220="","",INDEX(Candidates!$B$1:$B$500,K220))</f>
        <v/>
      </c>
      <c r="K220" s="86" t="n">
        <f aca="false">INT((ROW()-2)/7)+2</f>
        <v>33</v>
      </c>
      <c r="L220" s="86" t="n">
        <f aca="false">MOD(ROW()-2,7)+1</f>
        <v>2</v>
      </c>
    </row>
    <row r="221" customFormat="false" ht="15" hidden="false" customHeight="false" outlineLevel="0" collapsed="false">
      <c r="A221" s="85" t="str">
        <f aca="false">IF(INDEX(Candidates!$A$1:$A$500,K221)="","",INDEX(Candidates!$A$1:$A$500,K221))</f>
        <v/>
      </c>
      <c r="B221" s="85" t="str">
        <f aca="false">IF(A221="","",INDEX(Candidates!$C$1:$C$500,K221))</f>
        <v/>
      </c>
      <c r="C221" s="85" t="str">
        <f aca="false">IF(A221="","",INDEX(Candidates!$D$1:$D$500,K221))</f>
        <v/>
      </c>
      <c r="D221" s="85" t="str">
        <f aca="false">IF(A221="","",L221)</f>
        <v/>
      </c>
      <c r="E221" s="85" t="str">
        <f aca="false">IF(A221="","",INDEX($O$2:$O$8,L221))</f>
        <v/>
      </c>
      <c r="F221" s="85" t="str">
        <f aca="false">IF(A221="","",IF(ISNUMBER(INDEX(Candidates!$A$1:$Z$500,K221,INDEX($P$2:$P$8,L221))),INDEX(Candidates!$A$1:$Z$500,K221,INDEX($P$2:$P$8,L221)),""))</f>
        <v/>
      </c>
      <c r="G221" s="85" t="str">
        <f aca="false">IF(A221="","",INDEX($Q$2:$Q$8,L221))</f>
        <v/>
      </c>
      <c r="H221" s="85" t="str">
        <f aca="false">IF(A221="","",IF(F221="","Not yet scored",IF(F221&gt;=G221,"Pass","Fail")))</f>
        <v/>
      </c>
      <c r="I221" s="85" t="str">
        <f aca="false">IF(A221="","",INDEX(Candidates!$B$1:$B$500,K221))</f>
        <v/>
      </c>
      <c r="K221" s="86" t="n">
        <f aca="false">INT((ROW()-2)/7)+2</f>
        <v>33</v>
      </c>
      <c r="L221" s="86" t="n">
        <f aca="false">MOD(ROW()-2,7)+1</f>
        <v>3</v>
      </c>
    </row>
    <row r="222" customFormat="false" ht="15" hidden="false" customHeight="false" outlineLevel="0" collapsed="false">
      <c r="A222" s="85" t="str">
        <f aca="false">IF(INDEX(Candidates!$A$1:$A$500,K222)="","",INDEX(Candidates!$A$1:$A$500,K222))</f>
        <v/>
      </c>
      <c r="B222" s="85" t="str">
        <f aca="false">IF(A222="","",INDEX(Candidates!$C$1:$C$500,K222))</f>
        <v/>
      </c>
      <c r="C222" s="85" t="str">
        <f aca="false">IF(A222="","",INDEX(Candidates!$D$1:$D$500,K222))</f>
        <v/>
      </c>
      <c r="D222" s="85" t="str">
        <f aca="false">IF(A222="","",L222)</f>
        <v/>
      </c>
      <c r="E222" s="85" t="str">
        <f aca="false">IF(A222="","",INDEX($O$2:$O$8,L222))</f>
        <v/>
      </c>
      <c r="F222" s="85" t="str">
        <f aca="false">IF(A222="","",IF(ISNUMBER(INDEX(Candidates!$A$1:$Z$500,K222,INDEX($P$2:$P$8,L222))),INDEX(Candidates!$A$1:$Z$500,K222,INDEX($P$2:$P$8,L222)),""))</f>
        <v/>
      </c>
      <c r="G222" s="85" t="str">
        <f aca="false">IF(A222="","",INDEX($Q$2:$Q$8,L222))</f>
        <v/>
      </c>
      <c r="H222" s="85" t="str">
        <f aca="false">IF(A222="","",IF(F222="","Not yet scored",IF(F222&gt;=G222,"Pass","Fail")))</f>
        <v/>
      </c>
      <c r="I222" s="85" t="str">
        <f aca="false">IF(A222="","",INDEX(Candidates!$B$1:$B$500,K222))</f>
        <v/>
      </c>
      <c r="K222" s="86" t="n">
        <f aca="false">INT((ROW()-2)/7)+2</f>
        <v>33</v>
      </c>
      <c r="L222" s="86" t="n">
        <f aca="false">MOD(ROW()-2,7)+1</f>
        <v>4</v>
      </c>
    </row>
    <row r="223" customFormat="false" ht="15" hidden="false" customHeight="false" outlineLevel="0" collapsed="false">
      <c r="A223" s="85" t="str">
        <f aca="false">IF(INDEX(Candidates!$A$1:$A$500,K223)="","",INDEX(Candidates!$A$1:$A$500,K223))</f>
        <v/>
      </c>
      <c r="B223" s="85" t="str">
        <f aca="false">IF(A223="","",INDEX(Candidates!$C$1:$C$500,K223))</f>
        <v/>
      </c>
      <c r="C223" s="85" t="str">
        <f aca="false">IF(A223="","",INDEX(Candidates!$D$1:$D$500,K223))</f>
        <v/>
      </c>
      <c r="D223" s="85" t="str">
        <f aca="false">IF(A223="","",L223)</f>
        <v/>
      </c>
      <c r="E223" s="85" t="str">
        <f aca="false">IF(A223="","",INDEX($O$2:$O$8,L223))</f>
        <v/>
      </c>
      <c r="F223" s="85" t="str">
        <f aca="false">IF(A223="","",IF(ISNUMBER(INDEX(Candidates!$A$1:$Z$500,K223,INDEX($P$2:$P$8,L223))),INDEX(Candidates!$A$1:$Z$500,K223,INDEX($P$2:$P$8,L223)),""))</f>
        <v/>
      </c>
      <c r="G223" s="85" t="str">
        <f aca="false">IF(A223="","",INDEX($Q$2:$Q$8,L223))</f>
        <v/>
      </c>
      <c r="H223" s="85" t="str">
        <f aca="false">IF(A223="","",IF(F223="","Not yet scored",IF(F223&gt;=G223,"Pass","Fail")))</f>
        <v/>
      </c>
      <c r="I223" s="85" t="str">
        <f aca="false">IF(A223="","",INDEX(Candidates!$B$1:$B$500,K223))</f>
        <v/>
      </c>
      <c r="K223" s="86" t="n">
        <f aca="false">INT((ROW()-2)/7)+2</f>
        <v>33</v>
      </c>
      <c r="L223" s="86" t="n">
        <f aca="false">MOD(ROW()-2,7)+1</f>
        <v>5</v>
      </c>
    </row>
    <row r="224" customFormat="false" ht="15" hidden="false" customHeight="false" outlineLevel="0" collapsed="false">
      <c r="A224" s="85" t="str">
        <f aca="false">IF(INDEX(Candidates!$A$1:$A$500,K224)="","",INDEX(Candidates!$A$1:$A$500,K224))</f>
        <v/>
      </c>
      <c r="B224" s="85" t="str">
        <f aca="false">IF(A224="","",INDEX(Candidates!$C$1:$C$500,K224))</f>
        <v/>
      </c>
      <c r="C224" s="85" t="str">
        <f aca="false">IF(A224="","",INDEX(Candidates!$D$1:$D$500,K224))</f>
        <v/>
      </c>
      <c r="D224" s="85" t="str">
        <f aca="false">IF(A224="","",L224)</f>
        <v/>
      </c>
      <c r="E224" s="85" t="str">
        <f aca="false">IF(A224="","",INDEX($O$2:$O$8,L224))</f>
        <v/>
      </c>
      <c r="F224" s="85" t="str">
        <f aca="false">IF(A224="","",IF(ISNUMBER(INDEX(Candidates!$A$1:$Z$500,K224,INDEX($P$2:$P$8,L224))),INDEX(Candidates!$A$1:$Z$500,K224,INDEX($P$2:$P$8,L224)),""))</f>
        <v/>
      </c>
      <c r="G224" s="85" t="str">
        <f aca="false">IF(A224="","",INDEX($Q$2:$Q$8,L224))</f>
        <v/>
      </c>
      <c r="H224" s="85" t="str">
        <f aca="false">IF(A224="","",IF(F224="","Not yet scored",IF(F224&gt;=G224,"Pass","Fail")))</f>
        <v/>
      </c>
      <c r="I224" s="85" t="str">
        <f aca="false">IF(A224="","",INDEX(Candidates!$B$1:$B$500,K224))</f>
        <v/>
      </c>
      <c r="K224" s="86" t="n">
        <f aca="false">INT((ROW()-2)/7)+2</f>
        <v>33</v>
      </c>
      <c r="L224" s="86" t="n">
        <f aca="false">MOD(ROW()-2,7)+1</f>
        <v>6</v>
      </c>
    </row>
    <row r="225" customFormat="false" ht="15" hidden="false" customHeight="false" outlineLevel="0" collapsed="false">
      <c r="A225" s="85" t="str">
        <f aca="false">IF(INDEX(Candidates!$A$1:$A$500,K225)="","",INDEX(Candidates!$A$1:$A$500,K225))</f>
        <v/>
      </c>
      <c r="B225" s="85" t="str">
        <f aca="false">IF(A225="","",INDEX(Candidates!$C$1:$C$500,K225))</f>
        <v/>
      </c>
      <c r="C225" s="85" t="str">
        <f aca="false">IF(A225="","",INDEX(Candidates!$D$1:$D$500,K225))</f>
        <v/>
      </c>
      <c r="D225" s="85" t="str">
        <f aca="false">IF(A225="","",L225)</f>
        <v/>
      </c>
      <c r="E225" s="85" t="str">
        <f aca="false">IF(A225="","",INDEX($O$2:$O$8,L225))</f>
        <v/>
      </c>
      <c r="F225" s="85" t="str">
        <f aca="false">IF(A225="","",IF(ISNUMBER(INDEX(Candidates!$A$1:$Z$500,K225,INDEX($P$2:$P$8,L225))),INDEX(Candidates!$A$1:$Z$500,K225,INDEX($P$2:$P$8,L225)),""))</f>
        <v/>
      </c>
      <c r="G225" s="85" t="str">
        <f aca="false">IF(A225="","",INDEX($Q$2:$Q$8,L225))</f>
        <v/>
      </c>
      <c r="H225" s="85" t="str">
        <f aca="false">IF(A225="","",IF(F225="","Not yet scored",IF(F225&gt;=G225,"Pass","Fail")))</f>
        <v/>
      </c>
      <c r="I225" s="85" t="str">
        <f aca="false">IF(A225="","",INDEX(Candidates!$B$1:$B$500,K225))</f>
        <v/>
      </c>
      <c r="K225" s="86" t="n">
        <f aca="false">INT((ROW()-2)/7)+2</f>
        <v>33</v>
      </c>
      <c r="L225" s="86" t="n">
        <f aca="false">MOD(ROW()-2,7)+1</f>
        <v>7</v>
      </c>
    </row>
    <row r="226" customFormat="false" ht="15" hidden="false" customHeight="false" outlineLevel="0" collapsed="false">
      <c r="A226" s="85" t="str">
        <f aca="false">IF(INDEX(Candidates!$A$1:$A$500,K226)="","",INDEX(Candidates!$A$1:$A$500,K226))</f>
        <v/>
      </c>
      <c r="B226" s="85" t="str">
        <f aca="false">IF(A226="","",INDEX(Candidates!$C$1:$C$500,K226))</f>
        <v/>
      </c>
      <c r="C226" s="85" t="str">
        <f aca="false">IF(A226="","",INDEX(Candidates!$D$1:$D$500,K226))</f>
        <v/>
      </c>
      <c r="D226" s="85" t="str">
        <f aca="false">IF(A226="","",L226)</f>
        <v/>
      </c>
      <c r="E226" s="85" t="str">
        <f aca="false">IF(A226="","",INDEX($O$2:$O$8,L226))</f>
        <v/>
      </c>
      <c r="F226" s="85" t="str">
        <f aca="false">IF(A226="","",IF(ISNUMBER(INDEX(Candidates!$A$1:$Z$500,K226,INDEX($P$2:$P$8,L226))),INDEX(Candidates!$A$1:$Z$500,K226,INDEX($P$2:$P$8,L226)),""))</f>
        <v/>
      </c>
      <c r="G226" s="85" t="str">
        <f aca="false">IF(A226="","",INDEX($Q$2:$Q$8,L226))</f>
        <v/>
      </c>
      <c r="H226" s="85" t="str">
        <f aca="false">IF(A226="","",IF(F226="","Not yet scored",IF(F226&gt;=G226,"Pass","Fail")))</f>
        <v/>
      </c>
      <c r="I226" s="85" t="str">
        <f aca="false">IF(A226="","",INDEX(Candidates!$B$1:$B$500,K226))</f>
        <v/>
      </c>
      <c r="K226" s="86" t="n">
        <f aca="false">INT((ROW()-2)/7)+2</f>
        <v>34</v>
      </c>
      <c r="L226" s="86" t="n">
        <f aca="false">MOD(ROW()-2,7)+1</f>
        <v>1</v>
      </c>
    </row>
    <row r="227" customFormat="false" ht="15" hidden="false" customHeight="false" outlineLevel="0" collapsed="false">
      <c r="A227" s="85" t="str">
        <f aca="false">IF(INDEX(Candidates!$A$1:$A$500,K227)="","",INDEX(Candidates!$A$1:$A$500,K227))</f>
        <v/>
      </c>
      <c r="B227" s="85" t="str">
        <f aca="false">IF(A227="","",INDEX(Candidates!$C$1:$C$500,K227))</f>
        <v/>
      </c>
      <c r="C227" s="85" t="str">
        <f aca="false">IF(A227="","",INDEX(Candidates!$D$1:$D$500,K227))</f>
        <v/>
      </c>
      <c r="D227" s="85" t="str">
        <f aca="false">IF(A227="","",L227)</f>
        <v/>
      </c>
      <c r="E227" s="85" t="str">
        <f aca="false">IF(A227="","",INDEX($O$2:$O$8,L227))</f>
        <v/>
      </c>
      <c r="F227" s="85" t="str">
        <f aca="false">IF(A227="","",IF(ISNUMBER(INDEX(Candidates!$A$1:$Z$500,K227,INDEX($P$2:$P$8,L227))),INDEX(Candidates!$A$1:$Z$500,K227,INDEX($P$2:$P$8,L227)),""))</f>
        <v/>
      </c>
      <c r="G227" s="85" t="str">
        <f aca="false">IF(A227="","",INDEX($Q$2:$Q$8,L227))</f>
        <v/>
      </c>
      <c r="H227" s="85" t="str">
        <f aca="false">IF(A227="","",IF(F227="","Not yet scored",IF(F227&gt;=G227,"Pass","Fail")))</f>
        <v/>
      </c>
      <c r="I227" s="85" t="str">
        <f aca="false">IF(A227="","",INDEX(Candidates!$B$1:$B$500,K227))</f>
        <v/>
      </c>
      <c r="K227" s="86" t="n">
        <f aca="false">INT((ROW()-2)/7)+2</f>
        <v>34</v>
      </c>
      <c r="L227" s="86" t="n">
        <f aca="false">MOD(ROW()-2,7)+1</f>
        <v>2</v>
      </c>
    </row>
    <row r="228" customFormat="false" ht="15" hidden="false" customHeight="false" outlineLevel="0" collapsed="false">
      <c r="A228" s="85" t="str">
        <f aca="false">IF(INDEX(Candidates!$A$1:$A$500,K228)="","",INDEX(Candidates!$A$1:$A$500,K228))</f>
        <v/>
      </c>
      <c r="B228" s="85" t="str">
        <f aca="false">IF(A228="","",INDEX(Candidates!$C$1:$C$500,K228))</f>
        <v/>
      </c>
      <c r="C228" s="85" t="str">
        <f aca="false">IF(A228="","",INDEX(Candidates!$D$1:$D$500,K228))</f>
        <v/>
      </c>
      <c r="D228" s="85" t="str">
        <f aca="false">IF(A228="","",L228)</f>
        <v/>
      </c>
      <c r="E228" s="85" t="str">
        <f aca="false">IF(A228="","",INDEX($O$2:$O$8,L228))</f>
        <v/>
      </c>
      <c r="F228" s="85" t="str">
        <f aca="false">IF(A228="","",IF(ISNUMBER(INDEX(Candidates!$A$1:$Z$500,K228,INDEX($P$2:$P$8,L228))),INDEX(Candidates!$A$1:$Z$500,K228,INDEX($P$2:$P$8,L228)),""))</f>
        <v/>
      </c>
      <c r="G228" s="85" t="str">
        <f aca="false">IF(A228="","",INDEX($Q$2:$Q$8,L228))</f>
        <v/>
      </c>
      <c r="H228" s="85" t="str">
        <f aca="false">IF(A228="","",IF(F228="","Not yet scored",IF(F228&gt;=G228,"Pass","Fail")))</f>
        <v/>
      </c>
      <c r="I228" s="85" t="str">
        <f aca="false">IF(A228="","",INDEX(Candidates!$B$1:$B$500,K228))</f>
        <v/>
      </c>
      <c r="K228" s="86" t="n">
        <f aca="false">INT((ROW()-2)/7)+2</f>
        <v>34</v>
      </c>
      <c r="L228" s="86" t="n">
        <f aca="false">MOD(ROW()-2,7)+1</f>
        <v>3</v>
      </c>
    </row>
    <row r="229" customFormat="false" ht="15" hidden="false" customHeight="false" outlineLevel="0" collapsed="false">
      <c r="A229" s="85" t="str">
        <f aca="false">IF(INDEX(Candidates!$A$1:$A$500,K229)="","",INDEX(Candidates!$A$1:$A$500,K229))</f>
        <v/>
      </c>
      <c r="B229" s="85" t="str">
        <f aca="false">IF(A229="","",INDEX(Candidates!$C$1:$C$500,K229))</f>
        <v/>
      </c>
      <c r="C229" s="85" t="str">
        <f aca="false">IF(A229="","",INDEX(Candidates!$D$1:$D$500,K229))</f>
        <v/>
      </c>
      <c r="D229" s="85" t="str">
        <f aca="false">IF(A229="","",L229)</f>
        <v/>
      </c>
      <c r="E229" s="85" t="str">
        <f aca="false">IF(A229="","",INDEX($O$2:$O$8,L229))</f>
        <v/>
      </c>
      <c r="F229" s="85" t="str">
        <f aca="false">IF(A229="","",IF(ISNUMBER(INDEX(Candidates!$A$1:$Z$500,K229,INDEX($P$2:$P$8,L229))),INDEX(Candidates!$A$1:$Z$500,K229,INDEX($P$2:$P$8,L229)),""))</f>
        <v/>
      </c>
      <c r="G229" s="85" t="str">
        <f aca="false">IF(A229="","",INDEX($Q$2:$Q$8,L229))</f>
        <v/>
      </c>
      <c r="H229" s="85" t="str">
        <f aca="false">IF(A229="","",IF(F229="","Not yet scored",IF(F229&gt;=G229,"Pass","Fail")))</f>
        <v/>
      </c>
      <c r="I229" s="85" t="str">
        <f aca="false">IF(A229="","",INDEX(Candidates!$B$1:$B$500,K229))</f>
        <v/>
      </c>
      <c r="K229" s="86" t="n">
        <f aca="false">INT((ROW()-2)/7)+2</f>
        <v>34</v>
      </c>
      <c r="L229" s="86" t="n">
        <f aca="false">MOD(ROW()-2,7)+1</f>
        <v>4</v>
      </c>
    </row>
    <row r="230" customFormat="false" ht="15" hidden="false" customHeight="false" outlineLevel="0" collapsed="false">
      <c r="A230" s="85" t="str">
        <f aca="false">IF(INDEX(Candidates!$A$1:$A$500,K230)="","",INDEX(Candidates!$A$1:$A$500,K230))</f>
        <v/>
      </c>
      <c r="B230" s="85" t="str">
        <f aca="false">IF(A230="","",INDEX(Candidates!$C$1:$C$500,K230))</f>
        <v/>
      </c>
      <c r="C230" s="85" t="str">
        <f aca="false">IF(A230="","",INDEX(Candidates!$D$1:$D$500,K230))</f>
        <v/>
      </c>
      <c r="D230" s="85" t="str">
        <f aca="false">IF(A230="","",L230)</f>
        <v/>
      </c>
      <c r="E230" s="85" t="str">
        <f aca="false">IF(A230="","",INDEX($O$2:$O$8,L230))</f>
        <v/>
      </c>
      <c r="F230" s="85" t="str">
        <f aca="false">IF(A230="","",IF(ISNUMBER(INDEX(Candidates!$A$1:$Z$500,K230,INDEX($P$2:$P$8,L230))),INDEX(Candidates!$A$1:$Z$500,K230,INDEX($P$2:$P$8,L230)),""))</f>
        <v/>
      </c>
      <c r="G230" s="85" t="str">
        <f aca="false">IF(A230="","",INDEX($Q$2:$Q$8,L230))</f>
        <v/>
      </c>
      <c r="H230" s="85" t="str">
        <f aca="false">IF(A230="","",IF(F230="","Not yet scored",IF(F230&gt;=G230,"Pass","Fail")))</f>
        <v/>
      </c>
      <c r="I230" s="85" t="str">
        <f aca="false">IF(A230="","",INDEX(Candidates!$B$1:$B$500,K230))</f>
        <v/>
      </c>
      <c r="K230" s="86" t="n">
        <f aca="false">INT((ROW()-2)/7)+2</f>
        <v>34</v>
      </c>
      <c r="L230" s="86" t="n">
        <f aca="false">MOD(ROW()-2,7)+1</f>
        <v>5</v>
      </c>
    </row>
    <row r="231" customFormat="false" ht="15" hidden="false" customHeight="false" outlineLevel="0" collapsed="false">
      <c r="A231" s="85" t="str">
        <f aca="false">IF(INDEX(Candidates!$A$1:$A$500,K231)="","",INDEX(Candidates!$A$1:$A$500,K231))</f>
        <v/>
      </c>
      <c r="B231" s="85" t="str">
        <f aca="false">IF(A231="","",INDEX(Candidates!$C$1:$C$500,K231))</f>
        <v/>
      </c>
      <c r="C231" s="85" t="str">
        <f aca="false">IF(A231="","",INDEX(Candidates!$D$1:$D$500,K231))</f>
        <v/>
      </c>
      <c r="D231" s="85" t="str">
        <f aca="false">IF(A231="","",L231)</f>
        <v/>
      </c>
      <c r="E231" s="85" t="str">
        <f aca="false">IF(A231="","",INDEX($O$2:$O$8,L231))</f>
        <v/>
      </c>
      <c r="F231" s="85" t="str">
        <f aca="false">IF(A231="","",IF(ISNUMBER(INDEX(Candidates!$A$1:$Z$500,K231,INDEX($P$2:$P$8,L231))),INDEX(Candidates!$A$1:$Z$500,K231,INDEX($P$2:$P$8,L231)),""))</f>
        <v/>
      </c>
      <c r="G231" s="85" t="str">
        <f aca="false">IF(A231="","",INDEX($Q$2:$Q$8,L231))</f>
        <v/>
      </c>
      <c r="H231" s="85" t="str">
        <f aca="false">IF(A231="","",IF(F231="","Not yet scored",IF(F231&gt;=G231,"Pass","Fail")))</f>
        <v/>
      </c>
      <c r="I231" s="85" t="str">
        <f aca="false">IF(A231="","",INDEX(Candidates!$B$1:$B$500,K231))</f>
        <v/>
      </c>
      <c r="K231" s="86" t="n">
        <f aca="false">INT((ROW()-2)/7)+2</f>
        <v>34</v>
      </c>
      <c r="L231" s="86" t="n">
        <f aca="false">MOD(ROW()-2,7)+1</f>
        <v>6</v>
      </c>
    </row>
    <row r="232" customFormat="false" ht="15" hidden="false" customHeight="false" outlineLevel="0" collapsed="false">
      <c r="A232" s="85" t="str">
        <f aca="false">IF(INDEX(Candidates!$A$1:$A$500,K232)="","",INDEX(Candidates!$A$1:$A$500,K232))</f>
        <v/>
      </c>
      <c r="B232" s="85" t="str">
        <f aca="false">IF(A232="","",INDEX(Candidates!$C$1:$C$500,K232))</f>
        <v/>
      </c>
      <c r="C232" s="85" t="str">
        <f aca="false">IF(A232="","",INDEX(Candidates!$D$1:$D$500,K232))</f>
        <v/>
      </c>
      <c r="D232" s="85" t="str">
        <f aca="false">IF(A232="","",L232)</f>
        <v/>
      </c>
      <c r="E232" s="85" t="str">
        <f aca="false">IF(A232="","",INDEX($O$2:$O$8,L232))</f>
        <v/>
      </c>
      <c r="F232" s="85" t="str">
        <f aca="false">IF(A232="","",IF(ISNUMBER(INDEX(Candidates!$A$1:$Z$500,K232,INDEX($P$2:$P$8,L232))),INDEX(Candidates!$A$1:$Z$500,K232,INDEX($P$2:$P$8,L232)),""))</f>
        <v/>
      </c>
      <c r="G232" s="85" t="str">
        <f aca="false">IF(A232="","",INDEX($Q$2:$Q$8,L232))</f>
        <v/>
      </c>
      <c r="H232" s="85" t="str">
        <f aca="false">IF(A232="","",IF(F232="","Not yet scored",IF(F232&gt;=G232,"Pass","Fail")))</f>
        <v/>
      </c>
      <c r="I232" s="85" t="str">
        <f aca="false">IF(A232="","",INDEX(Candidates!$B$1:$B$500,K232))</f>
        <v/>
      </c>
      <c r="K232" s="86" t="n">
        <f aca="false">INT((ROW()-2)/7)+2</f>
        <v>34</v>
      </c>
      <c r="L232" s="86" t="n">
        <f aca="false">MOD(ROW()-2,7)+1</f>
        <v>7</v>
      </c>
    </row>
    <row r="233" customFormat="false" ht="15" hidden="false" customHeight="false" outlineLevel="0" collapsed="false">
      <c r="A233" s="85" t="str">
        <f aca="false">IF(INDEX(Candidates!$A$1:$A$500,K233)="","",INDEX(Candidates!$A$1:$A$500,K233))</f>
        <v/>
      </c>
      <c r="B233" s="85" t="str">
        <f aca="false">IF(A233="","",INDEX(Candidates!$C$1:$C$500,K233))</f>
        <v/>
      </c>
      <c r="C233" s="85" t="str">
        <f aca="false">IF(A233="","",INDEX(Candidates!$D$1:$D$500,K233))</f>
        <v/>
      </c>
      <c r="D233" s="85" t="str">
        <f aca="false">IF(A233="","",L233)</f>
        <v/>
      </c>
      <c r="E233" s="85" t="str">
        <f aca="false">IF(A233="","",INDEX($O$2:$O$8,L233))</f>
        <v/>
      </c>
      <c r="F233" s="85" t="str">
        <f aca="false">IF(A233="","",IF(ISNUMBER(INDEX(Candidates!$A$1:$Z$500,K233,INDEX($P$2:$P$8,L233))),INDEX(Candidates!$A$1:$Z$500,K233,INDEX($P$2:$P$8,L233)),""))</f>
        <v/>
      </c>
      <c r="G233" s="85" t="str">
        <f aca="false">IF(A233="","",INDEX($Q$2:$Q$8,L233))</f>
        <v/>
      </c>
      <c r="H233" s="85" t="str">
        <f aca="false">IF(A233="","",IF(F233="","Not yet scored",IF(F233&gt;=G233,"Pass","Fail")))</f>
        <v/>
      </c>
      <c r="I233" s="85" t="str">
        <f aca="false">IF(A233="","",INDEX(Candidates!$B$1:$B$500,K233))</f>
        <v/>
      </c>
      <c r="K233" s="86" t="n">
        <f aca="false">INT((ROW()-2)/7)+2</f>
        <v>35</v>
      </c>
      <c r="L233" s="86" t="n">
        <f aca="false">MOD(ROW()-2,7)+1</f>
        <v>1</v>
      </c>
    </row>
    <row r="234" customFormat="false" ht="15" hidden="false" customHeight="false" outlineLevel="0" collapsed="false">
      <c r="A234" s="85" t="str">
        <f aca="false">IF(INDEX(Candidates!$A$1:$A$500,K234)="","",INDEX(Candidates!$A$1:$A$500,K234))</f>
        <v/>
      </c>
      <c r="B234" s="85" t="str">
        <f aca="false">IF(A234="","",INDEX(Candidates!$C$1:$C$500,K234))</f>
        <v/>
      </c>
      <c r="C234" s="85" t="str">
        <f aca="false">IF(A234="","",INDEX(Candidates!$D$1:$D$500,K234))</f>
        <v/>
      </c>
      <c r="D234" s="85" t="str">
        <f aca="false">IF(A234="","",L234)</f>
        <v/>
      </c>
      <c r="E234" s="85" t="str">
        <f aca="false">IF(A234="","",INDEX($O$2:$O$8,L234))</f>
        <v/>
      </c>
      <c r="F234" s="85" t="str">
        <f aca="false">IF(A234="","",IF(ISNUMBER(INDEX(Candidates!$A$1:$Z$500,K234,INDEX($P$2:$P$8,L234))),INDEX(Candidates!$A$1:$Z$500,K234,INDEX($P$2:$P$8,L234)),""))</f>
        <v/>
      </c>
      <c r="G234" s="85" t="str">
        <f aca="false">IF(A234="","",INDEX($Q$2:$Q$8,L234))</f>
        <v/>
      </c>
      <c r="H234" s="85" t="str">
        <f aca="false">IF(A234="","",IF(F234="","Not yet scored",IF(F234&gt;=G234,"Pass","Fail")))</f>
        <v/>
      </c>
      <c r="I234" s="85" t="str">
        <f aca="false">IF(A234="","",INDEX(Candidates!$B$1:$B$500,K234))</f>
        <v/>
      </c>
      <c r="K234" s="86" t="n">
        <f aca="false">INT((ROW()-2)/7)+2</f>
        <v>35</v>
      </c>
      <c r="L234" s="86" t="n">
        <f aca="false">MOD(ROW()-2,7)+1</f>
        <v>2</v>
      </c>
    </row>
    <row r="235" customFormat="false" ht="15" hidden="false" customHeight="false" outlineLevel="0" collapsed="false">
      <c r="A235" s="85" t="str">
        <f aca="false">IF(INDEX(Candidates!$A$1:$A$500,K235)="","",INDEX(Candidates!$A$1:$A$500,K235))</f>
        <v/>
      </c>
      <c r="B235" s="85" t="str">
        <f aca="false">IF(A235="","",INDEX(Candidates!$C$1:$C$500,K235))</f>
        <v/>
      </c>
      <c r="C235" s="85" t="str">
        <f aca="false">IF(A235="","",INDEX(Candidates!$D$1:$D$500,K235))</f>
        <v/>
      </c>
      <c r="D235" s="85" t="str">
        <f aca="false">IF(A235="","",L235)</f>
        <v/>
      </c>
      <c r="E235" s="85" t="str">
        <f aca="false">IF(A235="","",INDEX($O$2:$O$8,L235))</f>
        <v/>
      </c>
      <c r="F235" s="85" t="str">
        <f aca="false">IF(A235="","",IF(ISNUMBER(INDEX(Candidates!$A$1:$Z$500,K235,INDEX($P$2:$P$8,L235))),INDEX(Candidates!$A$1:$Z$500,K235,INDEX($P$2:$P$8,L235)),""))</f>
        <v/>
      </c>
      <c r="G235" s="85" t="str">
        <f aca="false">IF(A235="","",INDEX($Q$2:$Q$8,L235))</f>
        <v/>
      </c>
      <c r="H235" s="85" t="str">
        <f aca="false">IF(A235="","",IF(F235="","Not yet scored",IF(F235&gt;=G235,"Pass","Fail")))</f>
        <v/>
      </c>
      <c r="I235" s="85" t="str">
        <f aca="false">IF(A235="","",INDEX(Candidates!$B$1:$B$500,K235))</f>
        <v/>
      </c>
      <c r="K235" s="86" t="n">
        <f aca="false">INT((ROW()-2)/7)+2</f>
        <v>35</v>
      </c>
      <c r="L235" s="86" t="n">
        <f aca="false">MOD(ROW()-2,7)+1</f>
        <v>3</v>
      </c>
    </row>
    <row r="236" customFormat="false" ht="15" hidden="false" customHeight="false" outlineLevel="0" collapsed="false">
      <c r="A236" s="85" t="str">
        <f aca="false">IF(INDEX(Candidates!$A$1:$A$500,K236)="","",INDEX(Candidates!$A$1:$A$500,K236))</f>
        <v/>
      </c>
      <c r="B236" s="85" t="str">
        <f aca="false">IF(A236="","",INDEX(Candidates!$C$1:$C$500,K236))</f>
        <v/>
      </c>
      <c r="C236" s="85" t="str">
        <f aca="false">IF(A236="","",INDEX(Candidates!$D$1:$D$500,K236))</f>
        <v/>
      </c>
      <c r="D236" s="85" t="str">
        <f aca="false">IF(A236="","",L236)</f>
        <v/>
      </c>
      <c r="E236" s="85" t="str">
        <f aca="false">IF(A236="","",INDEX($O$2:$O$8,L236))</f>
        <v/>
      </c>
      <c r="F236" s="85" t="str">
        <f aca="false">IF(A236="","",IF(ISNUMBER(INDEX(Candidates!$A$1:$Z$500,K236,INDEX($P$2:$P$8,L236))),INDEX(Candidates!$A$1:$Z$500,K236,INDEX($P$2:$P$8,L236)),""))</f>
        <v/>
      </c>
      <c r="G236" s="85" t="str">
        <f aca="false">IF(A236="","",INDEX($Q$2:$Q$8,L236))</f>
        <v/>
      </c>
      <c r="H236" s="85" t="str">
        <f aca="false">IF(A236="","",IF(F236="","Not yet scored",IF(F236&gt;=G236,"Pass","Fail")))</f>
        <v/>
      </c>
      <c r="I236" s="85" t="str">
        <f aca="false">IF(A236="","",INDEX(Candidates!$B$1:$B$500,K236))</f>
        <v/>
      </c>
      <c r="K236" s="86" t="n">
        <f aca="false">INT((ROW()-2)/7)+2</f>
        <v>35</v>
      </c>
      <c r="L236" s="86" t="n">
        <f aca="false">MOD(ROW()-2,7)+1</f>
        <v>4</v>
      </c>
    </row>
    <row r="237" customFormat="false" ht="15" hidden="false" customHeight="false" outlineLevel="0" collapsed="false">
      <c r="A237" s="85" t="str">
        <f aca="false">IF(INDEX(Candidates!$A$1:$A$500,K237)="","",INDEX(Candidates!$A$1:$A$500,K237))</f>
        <v/>
      </c>
      <c r="B237" s="85" t="str">
        <f aca="false">IF(A237="","",INDEX(Candidates!$C$1:$C$500,K237))</f>
        <v/>
      </c>
      <c r="C237" s="85" t="str">
        <f aca="false">IF(A237="","",INDEX(Candidates!$D$1:$D$500,K237))</f>
        <v/>
      </c>
      <c r="D237" s="85" t="str">
        <f aca="false">IF(A237="","",L237)</f>
        <v/>
      </c>
      <c r="E237" s="85" t="str">
        <f aca="false">IF(A237="","",INDEX($O$2:$O$8,L237))</f>
        <v/>
      </c>
      <c r="F237" s="85" t="str">
        <f aca="false">IF(A237="","",IF(ISNUMBER(INDEX(Candidates!$A$1:$Z$500,K237,INDEX($P$2:$P$8,L237))),INDEX(Candidates!$A$1:$Z$500,K237,INDEX($P$2:$P$8,L237)),""))</f>
        <v/>
      </c>
      <c r="G237" s="85" t="str">
        <f aca="false">IF(A237="","",INDEX($Q$2:$Q$8,L237))</f>
        <v/>
      </c>
      <c r="H237" s="85" t="str">
        <f aca="false">IF(A237="","",IF(F237="","Not yet scored",IF(F237&gt;=G237,"Pass","Fail")))</f>
        <v/>
      </c>
      <c r="I237" s="85" t="str">
        <f aca="false">IF(A237="","",INDEX(Candidates!$B$1:$B$500,K237))</f>
        <v/>
      </c>
      <c r="K237" s="86" t="n">
        <f aca="false">INT((ROW()-2)/7)+2</f>
        <v>35</v>
      </c>
      <c r="L237" s="86" t="n">
        <f aca="false">MOD(ROW()-2,7)+1</f>
        <v>5</v>
      </c>
    </row>
    <row r="238" customFormat="false" ht="15" hidden="false" customHeight="false" outlineLevel="0" collapsed="false">
      <c r="A238" s="85" t="str">
        <f aca="false">IF(INDEX(Candidates!$A$1:$A$500,K238)="","",INDEX(Candidates!$A$1:$A$500,K238))</f>
        <v/>
      </c>
      <c r="B238" s="85" t="str">
        <f aca="false">IF(A238="","",INDEX(Candidates!$C$1:$C$500,K238))</f>
        <v/>
      </c>
      <c r="C238" s="85" t="str">
        <f aca="false">IF(A238="","",INDEX(Candidates!$D$1:$D$500,K238))</f>
        <v/>
      </c>
      <c r="D238" s="85" t="str">
        <f aca="false">IF(A238="","",L238)</f>
        <v/>
      </c>
      <c r="E238" s="85" t="str">
        <f aca="false">IF(A238="","",INDEX($O$2:$O$8,L238))</f>
        <v/>
      </c>
      <c r="F238" s="85" t="str">
        <f aca="false">IF(A238="","",IF(ISNUMBER(INDEX(Candidates!$A$1:$Z$500,K238,INDEX($P$2:$P$8,L238))),INDEX(Candidates!$A$1:$Z$500,K238,INDEX($P$2:$P$8,L238)),""))</f>
        <v/>
      </c>
      <c r="G238" s="85" t="str">
        <f aca="false">IF(A238="","",INDEX($Q$2:$Q$8,L238))</f>
        <v/>
      </c>
      <c r="H238" s="85" t="str">
        <f aca="false">IF(A238="","",IF(F238="","Not yet scored",IF(F238&gt;=G238,"Pass","Fail")))</f>
        <v/>
      </c>
      <c r="I238" s="85" t="str">
        <f aca="false">IF(A238="","",INDEX(Candidates!$B$1:$B$500,K238))</f>
        <v/>
      </c>
      <c r="K238" s="86" t="n">
        <f aca="false">INT((ROW()-2)/7)+2</f>
        <v>35</v>
      </c>
      <c r="L238" s="86" t="n">
        <f aca="false">MOD(ROW()-2,7)+1</f>
        <v>6</v>
      </c>
    </row>
    <row r="239" customFormat="false" ht="15" hidden="false" customHeight="false" outlineLevel="0" collapsed="false">
      <c r="A239" s="85" t="str">
        <f aca="false">IF(INDEX(Candidates!$A$1:$A$500,K239)="","",INDEX(Candidates!$A$1:$A$500,K239))</f>
        <v/>
      </c>
      <c r="B239" s="85" t="str">
        <f aca="false">IF(A239="","",INDEX(Candidates!$C$1:$C$500,K239))</f>
        <v/>
      </c>
      <c r="C239" s="85" t="str">
        <f aca="false">IF(A239="","",INDEX(Candidates!$D$1:$D$500,K239))</f>
        <v/>
      </c>
      <c r="D239" s="85" t="str">
        <f aca="false">IF(A239="","",L239)</f>
        <v/>
      </c>
      <c r="E239" s="85" t="str">
        <f aca="false">IF(A239="","",INDEX($O$2:$O$8,L239))</f>
        <v/>
      </c>
      <c r="F239" s="85" t="str">
        <f aca="false">IF(A239="","",IF(ISNUMBER(INDEX(Candidates!$A$1:$Z$500,K239,INDEX($P$2:$P$8,L239))),INDEX(Candidates!$A$1:$Z$500,K239,INDEX($P$2:$P$8,L239)),""))</f>
        <v/>
      </c>
      <c r="G239" s="85" t="str">
        <f aca="false">IF(A239="","",INDEX($Q$2:$Q$8,L239))</f>
        <v/>
      </c>
      <c r="H239" s="85" t="str">
        <f aca="false">IF(A239="","",IF(F239="","Not yet scored",IF(F239&gt;=G239,"Pass","Fail")))</f>
        <v/>
      </c>
      <c r="I239" s="85" t="str">
        <f aca="false">IF(A239="","",INDEX(Candidates!$B$1:$B$500,K239))</f>
        <v/>
      </c>
      <c r="K239" s="86" t="n">
        <f aca="false">INT((ROW()-2)/7)+2</f>
        <v>35</v>
      </c>
      <c r="L239" s="86" t="n">
        <f aca="false">MOD(ROW()-2,7)+1</f>
        <v>7</v>
      </c>
    </row>
    <row r="240" customFormat="false" ht="15" hidden="false" customHeight="false" outlineLevel="0" collapsed="false">
      <c r="A240" s="85" t="str">
        <f aca="false">IF(INDEX(Candidates!$A$1:$A$500,K240)="","",INDEX(Candidates!$A$1:$A$500,K240))</f>
        <v/>
      </c>
      <c r="B240" s="85" t="str">
        <f aca="false">IF(A240="","",INDEX(Candidates!$C$1:$C$500,K240))</f>
        <v/>
      </c>
      <c r="C240" s="85" t="str">
        <f aca="false">IF(A240="","",INDEX(Candidates!$D$1:$D$500,K240))</f>
        <v/>
      </c>
      <c r="D240" s="85" t="str">
        <f aca="false">IF(A240="","",L240)</f>
        <v/>
      </c>
      <c r="E240" s="85" t="str">
        <f aca="false">IF(A240="","",INDEX($O$2:$O$8,L240))</f>
        <v/>
      </c>
      <c r="F240" s="85" t="str">
        <f aca="false">IF(A240="","",IF(ISNUMBER(INDEX(Candidates!$A$1:$Z$500,K240,INDEX($P$2:$P$8,L240))),INDEX(Candidates!$A$1:$Z$500,K240,INDEX($P$2:$P$8,L240)),""))</f>
        <v/>
      </c>
      <c r="G240" s="85" t="str">
        <f aca="false">IF(A240="","",INDEX($Q$2:$Q$8,L240))</f>
        <v/>
      </c>
      <c r="H240" s="85" t="str">
        <f aca="false">IF(A240="","",IF(F240="","Not yet scored",IF(F240&gt;=G240,"Pass","Fail")))</f>
        <v/>
      </c>
      <c r="I240" s="85" t="str">
        <f aca="false">IF(A240="","",INDEX(Candidates!$B$1:$B$500,K240))</f>
        <v/>
      </c>
      <c r="K240" s="86" t="n">
        <f aca="false">INT((ROW()-2)/7)+2</f>
        <v>36</v>
      </c>
      <c r="L240" s="86" t="n">
        <f aca="false">MOD(ROW()-2,7)+1</f>
        <v>1</v>
      </c>
    </row>
    <row r="241" customFormat="false" ht="15" hidden="false" customHeight="false" outlineLevel="0" collapsed="false">
      <c r="A241" s="85" t="str">
        <f aca="false">IF(INDEX(Candidates!$A$1:$A$500,K241)="","",INDEX(Candidates!$A$1:$A$500,K241))</f>
        <v/>
      </c>
      <c r="B241" s="85" t="str">
        <f aca="false">IF(A241="","",INDEX(Candidates!$C$1:$C$500,K241))</f>
        <v/>
      </c>
      <c r="C241" s="85" t="str">
        <f aca="false">IF(A241="","",INDEX(Candidates!$D$1:$D$500,K241))</f>
        <v/>
      </c>
      <c r="D241" s="85" t="str">
        <f aca="false">IF(A241="","",L241)</f>
        <v/>
      </c>
      <c r="E241" s="85" t="str">
        <f aca="false">IF(A241="","",INDEX($O$2:$O$8,L241))</f>
        <v/>
      </c>
      <c r="F241" s="85" t="str">
        <f aca="false">IF(A241="","",IF(ISNUMBER(INDEX(Candidates!$A$1:$Z$500,K241,INDEX($P$2:$P$8,L241))),INDEX(Candidates!$A$1:$Z$500,K241,INDEX($P$2:$P$8,L241)),""))</f>
        <v/>
      </c>
      <c r="G241" s="85" t="str">
        <f aca="false">IF(A241="","",INDEX($Q$2:$Q$8,L241))</f>
        <v/>
      </c>
      <c r="H241" s="85" t="str">
        <f aca="false">IF(A241="","",IF(F241="","Not yet scored",IF(F241&gt;=G241,"Pass","Fail")))</f>
        <v/>
      </c>
      <c r="I241" s="85" t="str">
        <f aca="false">IF(A241="","",INDEX(Candidates!$B$1:$B$500,K241))</f>
        <v/>
      </c>
      <c r="K241" s="86" t="n">
        <f aca="false">INT((ROW()-2)/7)+2</f>
        <v>36</v>
      </c>
      <c r="L241" s="86" t="n">
        <f aca="false">MOD(ROW()-2,7)+1</f>
        <v>2</v>
      </c>
    </row>
    <row r="242" customFormat="false" ht="15" hidden="false" customHeight="false" outlineLevel="0" collapsed="false">
      <c r="A242" s="85" t="str">
        <f aca="false">IF(INDEX(Candidates!$A$1:$A$500,K242)="","",INDEX(Candidates!$A$1:$A$500,K242))</f>
        <v/>
      </c>
      <c r="B242" s="85" t="str">
        <f aca="false">IF(A242="","",INDEX(Candidates!$C$1:$C$500,K242))</f>
        <v/>
      </c>
      <c r="C242" s="85" t="str">
        <f aca="false">IF(A242="","",INDEX(Candidates!$D$1:$D$500,K242))</f>
        <v/>
      </c>
      <c r="D242" s="85" t="str">
        <f aca="false">IF(A242="","",L242)</f>
        <v/>
      </c>
      <c r="E242" s="85" t="str">
        <f aca="false">IF(A242="","",INDEX($O$2:$O$8,L242))</f>
        <v/>
      </c>
      <c r="F242" s="85" t="str">
        <f aca="false">IF(A242="","",IF(ISNUMBER(INDEX(Candidates!$A$1:$Z$500,K242,INDEX($P$2:$P$8,L242))),INDEX(Candidates!$A$1:$Z$500,K242,INDEX($P$2:$P$8,L242)),""))</f>
        <v/>
      </c>
      <c r="G242" s="85" t="str">
        <f aca="false">IF(A242="","",INDEX($Q$2:$Q$8,L242))</f>
        <v/>
      </c>
      <c r="H242" s="85" t="str">
        <f aca="false">IF(A242="","",IF(F242="","Not yet scored",IF(F242&gt;=G242,"Pass","Fail")))</f>
        <v/>
      </c>
      <c r="I242" s="85" t="str">
        <f aca="false">IF(A242="","",INDEX(Candidates!$B$1:$B$500,K242))</f>
        <v/>
      </c>
      <c r="K242" s="86" t="n">
        <f aca="false">INT((ROW()-2)/7)+2</f>
        <v>36</v>
      </c>
      <c r="L242" s="86" t="n">
        <f aca="false">MOD(ROW()-2,7)+1</f>
        <v>3</v>
      </c>
    </row>
    <row r="243" customFormat="false" ht="15" hidden="false" customHeight="false" outlineLevel="0" collapsed="false">
      <c r="A243" s="85" t="str">
        <f aca="false">IF(INDEX(Candidates!$A$1:$A$500,K243)="","",INDEX(Candidates!$A$1:$A$500,K243))</f>
        <v/>
      </c>
      <c r="B243" s="85" t="str">
        <f aca="false">IF(A243="","",INDEX(Candidates!$C$1:$C$500,K243))</f>
        <v/>
      </c>
      <c r="C243" s="85" t="str">
        <f aca="false">IF(A243="","",INDEX(Candidates!$D$1:$D$500,K243))</f>
        <v/>
      </c>
      <c r="D243" s="85" t="str">
        <f aca="false">IF(A243="","",L243)</f>
        <v/>
      </c>
      <c r="E243" s="85" t="str">
        <f aca="false">IF(A243="","",INDEX($O$2:$O$8,L243))</f>
        <v/>
      </c>
      <c r="F243" s="85" t="str">
        <f aca="false">IF(A243="","",IF(ISNUMBER(INDEX(Candidates!$A$1:$Z$500,K243,INDEX($P$2:$P$8,L243))),INDEX(Candidates!$A$1:$Z$500,K243,INDEX($P$2:$P$8,L243)),""))</f>
        <v/>
      </c>
      <c r="G243" s="85" t="str">
        <f aca="false">IF(A243="","",INDEX($Q$2:$Q$8,L243))</f>
        <v/>
      </c>
      <c r="H243" s="85" t="str">
        <f aca="false">IF(A243="","",IF(F243="","Not yet scored",IF(F243&gt;=G243,"Pass","Fail")))</f>
        <v/>
      </c>
      <c r="I243" s="85" t="str">
        <f aca="false">IF(A243="","",INDEX(Candidates!$B$1:$B$500,K243))</f>
        <v/>
      </c>
      <c r="K243" s="86" t="n">
        <f aca="false">INT((ROW()-2)/7)+2</f>
        <v>36</v>
      </c>
      <c r="L243" s="86" t="n">
        <f aca="false">MOD(ROW()-2,7)+1</f>
        <v>4</v>
      </c>
    </row>
    <row r="244" customFormat="false" ht="15" hidden="false" customHeight="false" outlineLevel="0" collapsed="false">
      <c r="A244" s="85" t="str">
        <f aca="false">IF(INDEX(Candidates!$A$1:$A$500,K244)="","",INDEX(Candidates!$A$1:$A$500,K244))</f>
        <v/>
      </c>
      <c r="B244" s="85" t="str">
        <f aca="false">IF(A244="","",INDEX(Candidates!$C$1:$C$500,K244))</f>
        <v/>
      </c>
      <c r="C244" s="85" t="str">
        <f aca="false">IF(A244="","",INDEX(Candidates!$D$1:$D$500,K244))</f>
        <v/>
      </c>
      <c r="D244" s="85" t="str">
        <f aca="false">IF(A244="","",L244)</f>
        <v/>
      </c>
      <c r="E244" s="85" t="str">
        <f aca="false">IF(A244="","",INDEX($O$2:$O$8,L244))</f>
        <v/>
      </c>
      <c r="F244" s="85" t="str">
        <f aca="false">IF(A244="","",IF(ISNUMBER(INDEX(Candidates!$A$1:$Z$500,K244,INDEX($P$2:$P$8,L244))),INDEX(Candidates!$A$1:$Z$500,K244,INDEX($P$2:$P$8,L244)),""))</f>
        <v/>
      </c>
      <c r="G244" s="85" t="str">
        <f aca="false">IF(A244="","",INDEX($Q$2:$Q$8,L244))</f>
        <v/>
      </c>
      <c r="H244" s="85" t="str">
        <f aca="false">IF(A244="","",IF(F244="","Not yet scored",IF(F244&gt;=G244,"Pass","Fail")))</f>
        <v/>
      </c>
      <c r="I244" s="85" t="str">
        <f aca="false">IF(A244="","",INDEX(Candidates!$B$1:$B$500,K244))</f>
        <v/>
      </c>
      <c r="K244" s="86" t="n">
        <f aca="false">INT((ROW()-2)/7)+2</f>
        <v>36</v>
      </c>
      <c r="L244" s="86" t="n">
        <f aca="false">MOD(ROW()-2,7)+1</f>
        <v>5</v>
      </c>
    </row>
    <row r="245" customFormat="false" ht="15" hidden="false" customHeight="false" outlineLevel="0" collapsed="false">
      <c r="A245" s="85" t="str">
        <f aca="false">IF(INDEX(Candidates!$A$1:$A$500,K245)="","",INDEX(Candidates!$A$1:$A$500,K245))</f>
        <v/>
      </c>
      <c r="B245" s="85" t="str">
        <f aca="false">IF(A245="","",INDEX(Candidates!$C$1:$C$500,K245))</f>
        <v/>
      </c>
      <c r="C245" s="85" t="str">
        <f aca="false">IF(A245="","",INDEX(Candidates!$D$1:$D$500,K245))</f>
        <v/>
      </c>
      <c r="D245" s="85" t="str">
        <f aca="false">IF(A245="","",L245)</f>
        <v/>
      </c>
      <c r="E245" s="85" t="str">
        <f aca="false">IF(A245="","",INDEX($O$2:$O$8,L245))</f>
        <v/>
      </c>
      <c r="F245" s="85" t="str">
        <f aca="false">IF(A245="","",IF(ISNUMBER(INDEX(Candidates!$A$1:$Z$500,K245,INDEX($P$2:$P$8,L245))),INDEX(Candidates!$A$1:$Z$500,K245,INDEX($P$2:$P$8,L245)),""))</f>
        <v/>
      </c>
      <c r="G245" s="85" t="str">
        <f aca="false">IF(A245="","",INDEX($Q$2:$Q$8,L245))</f>
        <v/>
      </c>
      <c r="H245" s="85" t="str">
        <f aca="false">IF(A245="","",IF(F245="","Not yet scored",IF(F245&gt;=G245,"Pass","Fail")))</f>
        <v/>
      </c>
      <c r="I245" s="85" t="str">
        <f aca="false">IF(A245="","",INDEX(Candidates!$B$1:$B$500,K245))</f>
        <v/>
      </c>
      <c r="K245" s="86" t="n">
        <f aca="false">INT((ROW()-2)/7)+2</f>
        <v>36</v>
      </c>
      <c r="L245" s="86" t="n">
        <f aca="false">MOD(ROW()-2,7)+1</f>
        <v>6</v>
      </c>
    </row>
    <row r="246" customFormat="false" ht="15" hidden="false" customHeight="false" outlineLevel="0" collapsed="false">
      <c r="A246" s="85" t="str">
        <f aca="false">IF(INDEX(Candidates!$A$1:$A$500,K246)="","",INDEX(Candidates!$A$1:$A$500,K246))</f>
        <v/>
      </c>
      <c r="B246" s="85" t="str">
        <f aca="false">IF(A246="","",INDEX(Candidates!$C$1:$C$500,K246))</f>
        <v/>
      </c>
      <c r="C246" s="85" t="str">
        <f aca="false">IF(A246="","",INDEX(Candidates!$D$1:$D$500,K246))</f>
        <v/>
      </c>
      <c r="D246" s="85" t="str">
        <f aca="false">IF(A246="","",L246)</f>
        <v/>
      </c>
      <c r="E246" s="85" t="str">
        <f aca="false">IF(A246="","",INDEX($O$2:$O$8,L246))</f>
        <v/>
      </c>
      <c r="F246" s="85" t="str">
        <f aca="false">IF(A246="","",IF(ISNUMBER(INDEX(Candidates!$A$1:$Z$500,K246,INDEX($P$2:$P$8,L246))),INDEX(Candidates!$A$1:$Z$500,K246,INDEX($P$2:$P$8,L246)),""))</f>
        <v/>
      </c>
      <c r="G246" s="85" t="str">
        <f aca="false">IF(A246="","",INDEX($Q$2:$Q$8,L246))</f>
        <v/>
      </c>
      <c r="H246" s="85" t="str">
        <f aca="false">IF(A246="","",IF(F246="","Not yet scored",IF(F246&gt;=G246,"Pass","Fail")))</f>
        <v/>
      </c>
      <c r="I246" s="85" t="str">
        <f aca="false">IF(A246="","",INDEX(Candidates!$B$1:$B$500,K246))</f>
        <v/>
      </c>
      <c r="K246" s="86" t="n">
        <f aca="false">INT((ROW()-2)/7)+2</f>
        <v>36</v>
      </c>
      <c r="L246" s="86" t="n">
        <f aca="false">MOD(ROW()-2,7)+1</f>
        <v>7</v>
      </c>
    </row>
    <row r="247" customFormat="false" ht="15" hidden="false" customHeight="false" outlineLevel="0" collapsed="false">
      <c r="A247" s="85" t="str">
        <f aca="false">IF(INDEX(Candidates!$A$1:$A$500,K247)="","",INDEX(Candidates!$A$1:$A$500,K247))</f>
        <v/>
      </c>
      <c r="B247" s="85" t="str">
        <f aca="false">IF(A247="","",INDEX(Candidates!$C$1:$C$500,K247))</f>
        <v/>
      </c>
      <c r="C247" s="85" t="str">
        <f aca="false">IF(A247="","",INDEX(Candidates!$D$1:$D$500,K247))</f>
        <v/>
      </c>
      <c r="D247" s="85" t="str">
        <f aca="false">IF(A247="","",L247)</f>
        <v/>
      </c>
      <c r="E247" s="85" t="str">
        <f aca="false">IF(A247="","",INDEX($O$2:$O$8,L247))</f>
        <v/>
      </c>
      <c r="F247" s="85" t="str">
        <f aca="false">IF(A247="","",IF(ISNUMBER(INDEX(Candidates!$A$1:$Z$500,K247,INDEX($P$2:$P$8,L247))),INDEX(Candidates!$A$1:$Z$500,K247,INDEX($P$2:$P$8,L247)),""))</f>
        <v/>
      </c>
      <c r="G247" s="85" t="str">
        <f aca="false">IF(A247="","",INDEX($Q$2:$Q$8,L247))</f>
        <v/>
      </c>
      <c r="H247" s="85" t="str">
        <f aca="false">IF(A247="","",IF(F247="","Not yet scored",IF(F247&gt;=G247,"Pass","Fail")))</f>
        <v/>
      </c>
      <c r="I247" s="85" t="str">
        <f aca="false">IF(A247="","",INDEX(Candidates!$B$1:$B$500,K247))</f>
        <v/>
      </c>
      <c r="K247" s="86" t="n">
        <f aca="false">INT((ROW()-2)/7)+2</f>
        <v>37</v>
      </c>
      <c r="L247" s="86" t="n">
        <f aca="false">MOD(ROW()-2,7)+1</f>
        <v>1</v>
      </c>
    </row>
    <row r="248" customFormat="false" ht="15" hidden="false" customHeight="false" outlineLevel="0" collapsed="false">
      <c r="A248" s="85" t="str">
        <f aca="false">IF(INDEX(Candidates!$A$1:$A$500,K248)="","",INDEX(Candidates!$A$1:$A$500,K248))</f>
        <v/>
      </c>
      <c r="B248" s="85" t="str">
        <f aca="false">IF(A248="","",INDEX(Candidates!$C$1:$C$500,K248))</f>
        <v/>
      </c>
      <c r="C248" s="85" t="str">
        <f aca="false">IF(A248="","",INDEX(Candidates!$D$1:$D$500,K248))</f>
        <v/>
      </c>
      <c r="D248" s="85" t="str">
        <f aca="false">IF(A248="","",L248)</f>
        <v/>
      </c>
      <c r="E248" s="85" t="str">
        <f aca="false">IF(A248="","",INDEX($O$2:$O$8,L248))</f>
        <v/>
      </c>
      <c r="F248" s="85" t="str">
        <f aca="false">IF(A248="","",IF(ISNUMBER(INDEX(Candidates!$A$1:$Z$500,K248,INDEX($P$2:$P$8,L248))),INDEX(Candidates!$A$1:$Z$500,K248,INDEX($P$2:$P$8,L248)),""))</f>
        <v/>
      </c>
      <c r="G248" s="85" t="str">
        <f aca="false">IF(A248="","",INDEX($Q$2:$Q$8,L248))</f>
        <v/>
      </c>
      <c r="H248" s="85" t="str">
        <f aca="false">IF(A248="","",IF(F248="","Not yet scored",IF(F248&gt;=G248,"Pass","Fail")))</f>
        <v/>
      </c>
      <c r="I248" s="85" t="str">
        <f aca="false">IF(A248="","",INDEX(Candidates!$B$1:$B$500,K248))</f>
        <v/>
      </c>
      <c r="K248" s="86" t="n">
        <f aca="false">INT((ROW()-2)/7)+2</f>
        <v>37</v>
      </c>
      <c r="L248" s="86" t="n">
        <f aca="false">MOD(ROW()-2,7)+1</f>
        <v>2</v>
      </c>
    </row>
    <row r="249" customFormat="false" ht="15" hidden="false" customHeight="false" outlineLevel="0" collapsed="false">
      <c r="A249" s="85" t="str">
        <f aca="false">IF(INDEX(Candidates!$A$1:$A$500,K249)="","",INDEX(Candidates!$A$1:$A$500,K249))</f>
        <v/>
      </c>
      <c r="B249" s="85" t="str">
        <f aca="false">IF(A249="","",INDEX(Candidates!$C$1:$C$500,K249))</f>
        <v/>
      </c>
      <c r="C249" s="85" t="str">
        <f aca="false">IF(A249="","",INDEX(Candidates!$D$1:$D$500,K249))</f>
        <v/>
      </c>
      <c r="D249" s="85" t="str">
        <f aca="false">IF(A249="","",L249)</f>
        <v/>
      </c>
      <c r="E249" s="85" t="str">
        <f aca="false">IF(A249="","",INDEX($O$2:$O$8,L249))</f>
        <v/>
      </c>
      <c r="F249" s="85" t="str">
        <f aca="false">IF(A249="","",IF(ISNUMBER(INDEX(Candidates!$A$1:$Z$500,K249,INDEX($P$2:$P$8,L249))),INDEX(Candidates!$A$1:$Z$500,K249,INDEX($P$2:$P$8,L249)),""))</f>
        <v/>
      </c>
      <c r="G249" s="85" t="str">
        <f aca="false">IF(A249="","",INDEX($Q$2:$Q$8,L249))</f>
        <v/>
      </c>
      <c r="H249" s="85" t="str">
        <f aca="false">IF(A249="","",IF(F249="","Not yet scored",IF(F249&gt;=G249,"Pass","Fail")))</f>
        <v/>
      </c>
      <c r="I249" s="85" t="str">
        <f aca="false">IF(A249="","",INDEX(Candidates!$B$1:$B$500,K249))</f>
        <v/>
      </c>
      <c r="K249" s="86" t="n">
        <f aca="false">INT((ROW()-2)/7)+2</f>
        <v>37</v>
      </c>
      <c r="L249" s="86" t="n">
        <f aca="false">MOD(ROW()-2,7)+1</f>
        <v>3</v>
      </c>
    </row>
    <row r="250" customFormat="false" ht="15" hidden="false" customHeight="false" outlineLevel="0" collapsed="false">
      <c r="A250" s="85" t="str">
        <f aca="false">IF(INDEX(Candidates!$A$1:$A$500,K250)="","",INDEX(Candidates!$A$1:$A$500,K250))</f>
        <v/>
      </c>
      <c r="B250" s="85" t="str">
        <f aca="false">IF(A250="","",INDEX(Candidates!$C$1:$C$500,K250))</f>
        <v/>
      </c>
      <c r="C250" s="85" t="str">
        <f aca="false">IF(A250="","",INDEX(Candidates!$D$1:$D$500,K250))</f>
        <v/>
      </c>
      <c r="D250" s="85" t="str">
        <f aca="false">IF(A250="","",L250)</f>
        <v/>
      </c>
      <c r="E250" s="85" t="str">
        <f aca="false">IF(A250="","",INDEX($O$2:$O$8,L250))</f>
        <v/>
      </c>
      <c r="F250" s="85" t="str">
        <f aca="false">IF(A250="","",IF(ISNUMBER(INDEX(Candidates!$A$1:$Z$500,K250,INDEX($P$2:$P$8,L250))),INDEX(Candidates!$A$1:$Z$500,K250,INDEX($P$2:$P$8,L250)),""))</f>
        <v/>
      </c>
      <c r="G250" s="85" t="str">
        <f aca="false">IF(A250="","",INDEX($Q$2:$Q$8,L250))</f>
        <v/>
      </c>
      <c r="H250" s="85" t="str">
        <f aca="false">IF(A250="","",IF(F250="","Not yet scored",IF(F250&gt;=G250,"Pass","Fail")))</f>
        <v/>
      </c>
      <c r="I250" s="85" t="str">
        <f aca="false">IF(A250="","",INDEX(Candidates!$B$1:$B$500,K250))</f>
        <v/>
      </c>
      <c r="K250" s="86" t="n">
        <f aca="false">INT((ROW()-2)/7)+2</f>
        <v>37</v>
      </c>
      <c r="L250" s="86" t="n">
        <f aca="false">MOD(ROW()-2,7)+1</f>
        <v>4</v>
      </c>
    </row>
    <row r="251" customFormat="false" ht="15" hidden="false" customHeight="false" outlineLevel="0" collapsed="false">
      <c r="A251" s="85" t="str">
        <f aca="false">IF(INDEX(Candidates!$A$1:$A$500,K251)="","",INDEX(Candidates!$A$1:$A$500,K251))</f>
        <v/>
      </c>
      <c r="B251" s="85" t="str">
        <f aca="false">IF(A251="","",INDEX(Candidates!$C$1:$C$500,K251))</f>
        <v/>
      </c>
      <c r="C251" s="85" t="str">
        <f aca="false">IF(A251="","",INDEX(Candidates!$D$1:$D$500,K251))</f>
        <v/>
      </c>
      <c r="D251" s="85" t="str">
        <f aca="false">IF(A251="","",L251)</f>
        <v/>
      </c>
      <c r="E251" s="85" t="str">
        <f aca="false">IF(A251="","",INDEX($O$2:$O$8,L251))</f>
        <v/>
      </c>
      <c r="F251" s="85" t="str">
        <f aca="false">IF(A251="","",IF(ISNUMBER(INDEX(Candidates!$A$1:$Z$500,K251,INDEX($P$2:$P$8,L251))),INDEX(Candidates!$A$1:$Z$500,K251,INDEX($P$2:$P$8,L251)),""))</f>
        <v/>
      </c>
      <c r="G251" s="85" t="str">
        <f aca="false">IF(A251="","",INDEX($Q$2:$Q$8,L251))</f>
        <v/>
      </c>
      <c r="H251" s="85" t="str">
        <f aca="false">IF(A251="","",IF(F251="","Not yet scored",IF(F251&gt;=G251,"Pass","Fail")))</f>
        <v/>
      </c>
      <c r="I251" s="85" t="str">
        <f aca="false">IF(A251="","",INDEX(Candidates!$B$1:$B$500,K251))</f>
        <v/>
      </c>
      <c r="K251" s="86" t="n">
        <f aca="false">INT((ROW()-2)/7)+2</f>
        <v>37</v>
      </c>
      <c r="L251" s="86" t="n">
        <f aca="false">MOD(ROW()-2,7)+1</f>
        <v>5</v>
      </c>
    </row>
    <row r="252" customFormat="false" ht="15" hidden="false" customHeight="false" outlineLevel="0" collapsed="false">
      <c r="A252" s="85" t="str">
        <f aca="false">IF(INDEX(Candidates!$A$1:$A$500,K252)="","",INDEX(Candidates!$A$1:$A$500,K252))</f>
        <v/>
      </c>
      <c r="B252" s="85" t="str">
        <f aca="false">IF(A252="","",INDEX(Candidates!$C$1:$C$500,K252))</f>
        <v/>
      </c>
      <c r="C252" s="85" t="str">
        <f aca="false">IF(A252="","",INDEX(Candidates!$D$1:$D$500,K252))</f>
        <v/>
      </c>
      <c r="D252" s="85" t="str">
        <f aca="false">IF(A252="","",L252)</f>
        <v/>
      </c>
      <c r="E252" s="85" t="str">
        <f aca="false">IF(A252="","",INDEX($O$2:$O$8,L252))</f>
        <v/>
      </c>
      <c r="F252" s="85" t="str">
        <f aca="false">IF(A252="","",IF(ISNUMBER(INDEX(Candidates!$A$1:$Z$500,K252,INDEX($P$2:$P$8,L252))),INDEX(Candidates!$A$1:$Z$500,K252,INDEX($P$2:$P$8,L252)),""))</f>
        <v/>
      </c>
      <c r="G252" s="85" t="str">
        <f aca="false">IF(A252="","",INDEX($Q$2:$Q$8,L252))</f>
        <v/>
      </c>
      <c r="H252" s="85" t="str">
        <f aca="false">IF(A252="","",IF(F252="","Not yet scored",IF(F252&gt;=G252,"Pass","Fail")))</f>
        <v/>
      </c>
      <c r="I252" s="85" t="str">
        <f aca="false">IF(A252="","",INDEX(Candidates!$B$1:$B$500,K252))</f>
        <v/>
      </c>
      <c r="K252" s="86" t="n">
        <f aca="false">INT((ROW()-2)/7)+2</f>
        <v>37</v>
      </c>
      <c r="L252" s="86" t="n">
        <f aca="false">MOD(ROW()-2,7)+1</f>
        <v>6</v>
      </c>
    </row>
    <row r="253" customFormat="false" ht="15" hidden="false" customHeight="false" outlineLevel="0" collapsed="false">
      <c r="A253" s="85" t="str">
        <f aca="false">IF(INDEX(Candidates!$A$1:$A$500,K253)="","",INDEX(Candidates!$A$1:$A$500,K253))</f>
        <v/>
      </c>
      <c r="B253" s="85" t="str">
        <f aca="false">IF(A253="","",INDEX(Candidates!$C$1:$C$500,K253))</f>
        <v/>
      </c>
      <c r="C253" s="85" t="str">
        <f aca="false">IF(A253="","",INDEX(Candidates!$D$1:$D$500,K253))</f>
        <v/>
      </c>
      <c r="D253" s="85" t="str">
        <f aca="false">IF(A253="","",L253)</f>
        <v/>
      </c>
      <c r="E253" s="85" t="str">
        <f aca="false">IF(A253="","",INDEX($O$2:$O$8,L253))</f>
        <v/>
      </c>
      <c r="F253" s="85" t="str">
        <f aca="false">IF(A253="","",IF(ISNUMBER(INDEX(Candidates!$A$1:$Z$500,K253,INDEX($P$2:$P$8,L253))),INDEX(Candidates!$A$1:$Z$500,K253,INDEX($P$2:$P$8,L253)),""))</f>
        <v/>
      </c>
      <c r="G253" s="85" t="str">
        <f aca="false">IF(A253="","",INDEX($Q$2:$Q$8,L253))</f>
        <v/>
      </c>
      <c r="H253" s="85" t="str">
        <f aca="false">IF(A253="","",IF(F253="","Not yet scored",IF(F253&gt;=G253,"Pass","Fail")))</f>
        <v/>
      </c>
      <c r="I253" s="85" t="str">
        <f aca="false">IF(A253="","",INDEX(Candidates!$B$1:$B$500,K253))</f>
        <v/>
      </c>
      <c r="K253" s="86" t="n">
        <f aca="false">INT((ROW()-2)/7)+2</f>
        <v>37</v>
      </c>
      <c r="L253" s="86" t="n">
        <f aca="false">MOD(ROW()-2,7)+1</f>
        <v>7</v>
      </c>
    </row>
    <row r="254" customFormat="false" ht="15" hidden="false" customHeight="false" outlineLevel="0" collapsed="false">
      <c r="A254" s="85" t="str">
        <f aca="false">IF(INDEX(Candidates!$A$1:$A$500,K254)="","",INDEX(Candidates!$A$1:$A$500,K254))</f>
        <v/>
      </c>
      <c r="B254" s="85" t="str">
        <f aca="false">IF(A254="","",INDEX(Candidates!$C$1:$C$500,K254))</f>
        <v/>
      </c>
      <c r="C254" s="85" t="str">
        <f aca="false">IF(A254="","",INDEX(Candidates!$D$1:$D$500,K254))</f>
        <v/>
      </c>
      <c r="D254" s="85" t="str">
        <f aca="false">IF(A254="","",L254)</f>
        <v/>
      </c>
      <c r="E254" s="85" t="str">
        <f aca="false">IF(A254="","",INDEX($O$2:$O$8,L254))</f>
        <v/>
      </c>
      <c r="F254" s="85" t="str">
        <f aca="false">IF(A254="","",IF(ISNUMBER(INDEX(Candidates!$A$1:$Z$500,K254,INDEX($P$2:$P$8,L254))),INDEX(Candidates!$A$1:$Z$500,K254,INDEX($P$2:$P$8,L254)),""))</f>
        <v/>
      </c>
      <c r="G254" s="85" t="str">
        <f aca="false">IF(A254="","",INDEX($Q$2:$Q$8,L254))</f>
        <v/>
      </c>
      <c r="H254" s="85" t="str">
        <f aca="false">IF(A254="","",IF(F254="","Not yet scored",IF(F254&gt;=G254,"Pass","Fail")))</f>
        <v/>
      </c>
      <c r="I254" s="85" t="str">
        <f aca="false">IF(A254="","",INDEX(Candidates!$B$1:$B$500,K254))</f>
        <v/>
      </c>
      <c r="K254" s="86" t="n">
        <f aca="false">INT((ROW()-2)/7)+2</f>
        <v>38</v>
      </c>
      <c r="L254" s="86" t="n">
        <f aca="false">MOD(ROW()-2,7)+1</f>
        <v>1</v>
      </c>
    </row>
    <row r="255" customFormat="false" ht="15" hidden="false" customHeight="false" outlineLevel="0" collapsed="false">
      <c r="A255" s="85" t="str">
        <f aca="false">IF(INDEX(Candidates!$A$1:$A$500,K255)="","",INDEX(Candidates!$A$1:$A$500,K255))</f>
        <v/>
      </c>
      <c r="B255" s="85" t="str">
        <f aca="false">IF(A255="","",INDEX(Candidates!$C$1:$C$500,K255))</f>
        <v/>
      </c>
      <c r="C255" s="85" t="str">
        <f aca="false">IF(A255="","",INDEX(Candidates!$D$1:$D$500,K255))</f>
        <v/>
      </c>
      <c r="D255" s="85" t="str">
        <f aca="false">IF(A255="","",L255)</f>
        <v/>
      </c>
      <c r="E255" s="85" t="str">
        <f aca="false">IF(A255="","",INDEX($O$2:$O$8,L255))</f>
        <v/>
      </c>
      <c r="F255" s="85" t="str">
        <f aca="false">IF(A255="","",IF(ISNUMBER(INDEX(Candidates!$A$1:$Z$500,K255,INDEX($P$2:$P$8,L255))),INDEX(Candidates!$A$1:$Z$500,K255,INDEX($P$2:$P$8,L255)),""))</f>
        <v/>
      </c>
      <c r="G255" s="85" t="str">
        <f aca="false">IF(A255="","",INDEX($Q$2:$Q$8,L255))</f>
        <v/>
      </c>
      <c r="H255" s="85" t="str">
        <f aca="false">IF(A255="","",IF(F255="","Not yet scored",IF(F255&gt;=G255,"Pass","Fail")))</f>
        <v/>
      </c>
      <c r="I255" s="85" t="str">
        <f aca="false">IF(A255="","",INDEX(Candidates!$B$1:$B$500,K255))</f>
        <v/>
      </c>
      <c r="K255" s="86" t="n">
        <f aca="false">INT((ROW()-2)/7)+2</f>
        <v>38</v>
      </c>
      <c r="L255" s="86" t="n">
        <f aca="false">MOD(ROW()-2,7)+1</f>
        <v>2</v>
      </c>
    </row>
    <row r="256" customFormat="false" ht="15" hidden="false" customHeight="false" outlineLevel="0" collapsed="false">
      <c r="A256" s="85" t="str">
        <f aca="false">IF(INDEX(Candidates!$A$1:$A$500,K256)="","",INDEX(Candidates!$A$1:$A$500,K256))</f>
        <v/>
      </c>
      <c r="B256" s="85" t="str">
        <f aca="false">IF(A256="","",INDEX(Candidates!$C$1:$C$500,K256))</f>
        <v/>
      </c>
      <c r="C256" s="85" t="str">
        <f aca="false">IF(A256="","",INDEX(Candidates!$D$1:$D$500,K256))</f>
        <v/>
      </c>
      <c r="D256" s="85" t="str">
        <f aca="false">IF(A256="","",L256)</f>
        <v/>
      </c>
      <c r="E256" s="85" t="str">
        <f aca="false">IF(A256="","",INDEX($O$2:$O$8,L256))</f>
        <v/>
      </c>
      <c r="F256" s="85" t="str">
        <f aca="false">IF(A256="","",IF(ISNUMBER(INDEX(Candidates!$A$1:$Z$500,K256,INDEX($P$2:$P$8,L256))),INDEX(Candidates!$A$1:$Z$500,K256,INDEX($P$2:$P$8,L256)),""))</f>
        <v/>
      </c>
      <c r="G256" s="85" t="str">
        <f aca="false">IF(A256="","",INDEX($Q$2:$Q$8,L256))</f>
        <v/>
      </c>
      <c r="H256" s="85" t="str">
        <f aca="false">IF(A256="","",IF(F256="","Not yet scored",IF(F256&gt;=G256,"Pass","Fail")))</f>
        <v/>
      </c>
      <c r="I256" s="85" t="str">
        <f aca="false">IF(A256="","",INDEX(Candidates!$B$1:$B$500,K256))</f>
        <v/>
      </c>
      <c r="K256" s="86" t="n">
        <f aca="false">INT((ROW()-2)/7)+2</f>
        <v>38</v>
      </c>
      <c r="L256" s="86" t="n">
        <f aca="false">MOD(ROW()-2,7)+1</f>
        <v>3</v>
      </c>
    </row>
    <row r="257" customFormat="false" ht="15" hidden="false" customHeight="false" outlineLevel="0" collapsed="false">
      <c r="A257" s="85" t="str">
        <f aca="false">IF(INDEX(Candidates!$A$1:$A$500,K257)="","",INDEX(Candidates!$A$1:$A$500,K257))</f>
        <v/>
      </c>
      <c r="B257" s="85" t="str">
        <f aca="false">IF(A257="","",INDEX(Candidates!$C$1:$C$500,K257))</f>
        <v/>
      </c>
      <c r="C257" s="85" t="str">
        <f aca="false">IF(A257="","",INDEX(Candidates!$D$1:$D$500,K257))</f>
        <v/>
      </c>
      <c r="D257" s="85" t="str">
        <f aca="false">IF(A257="","",L257)</f>
        <v/>
      </c>
      <c r="E257" s="85" t="str">
        <f aca="false">IF(A257="","",INDEX($O$2:$O$8,L257))</f>
        <v/>
      </c>
      <c r="F257" s="85" t="str">
        <f aca="false">IF(A257="","",IF(ISNUMBER(INDEX(Candidates!$A$1:$Z$500,K257,INDEX($P$2:$P$8,L257))),INDEX(Candidates!$A$1:$Z$500,K257,INDEX($P$2:$P$8,L257)),""))</f>
        <v/>
      </c>
      <c r="G257" s="85" t="str">
        <f aca="false">IF(A257="","",INDEX($Q$2:$Q$8,L257))</f>
        <v/>
      </c>
      <c r="H257" s="85" t="str">
        <f aca="false">IF(A257="","",IF(F257="","Not yet scored",IF(F257&gt;=G257,"Pass","Fail")))</f>
        <v/>
      </c>
      <c r="I257" s="85" t="str">
        <f aca="false">IF(A257="","",INDEX(Candidates!$B$1:$B$500,K257))</f>
        <v/>
      </c>
      <c r="K257" s="86" t="n">
        <f aca="false">INT((ROW()-2)/7)+2</f>
        <v>38</v>
      </c>
      <c r="L257" s="86" t="n">
        <f aca="false">MOD(ROW()-2,7)+1</f>
        <v>4</v>
      </c>
    </row>
    <row r="258" customFormat="false" ht="15" hidden="false" customHeight="false" outlineLevel="0" collapsed="false">
      <c r="A258" s="85" t="str">
        <f aca="false">IF(INDEX(Candidates!$A$1:$A$500,K258)="","",INDEX(Candidates!$A$1:$A$500,K258))</f>
        <v/>
      </c>
      <c r="B258" s="85" t="str">
        <f aca="false">IF(A258="","",INDEX(Candidates!$C$1:$C$500,K258))</f>
        <v/>
      </c>
      <c r="C258" s="85" t="str">
        <f aca="false">IF(A258="","",INDEX(Candidates!$D$1:$D$500,K258))</f>
        <v/>
      </c>
      <c r="D258" s="85" t="str">
        <f aca="false">IF(A258="","",L258)</f>
        <v/>
      </c>
      <c r="E258" s="85" t="str">
        <f aca="false">IF(A258="","",INDEX($O$2:$O$8,L258))</f>
        <v/>
      </c>
      <c r="F258" s="85" t="str">
        <f aca="false">IF(A258="","",IF(ISNUMBER(INDEX(Candidates!$A$1:$Z$500,K258,INDEX($P$2:$P$8,L258))),INDEX(Candidates!$A$1:$Z$500,K258,INDEX($P$2:$P$8,L258)),""))</f>
        <v/>
      </c>
      <c r="G258" s="85" t="str">
        <f aca="false">IF(A258="","",INDEX($Q$2:$Q$8,L258))</f>
        <v/>
      </c>
      <c r="H258" s="85" t="str">
        <f aca="false">IF(A258="","",IF(F258="","Not yet scored",IF(F258&gt;=G258,"Pass","Fail")))</f>
        <v/>
      </c>
      <c r="I258" s="85" t="str">
        <f aca="false">IF(A258="","",INDEX(Candidates!$B$1:$B$500,K258))</f>
        <v/>
      </c>
      <c r="K258" s="86" t="n">
        <f aca="false">INT((ROW()-2)/7)+2</f>
        <v>38</v>
      </c>
      <c r="L258" s="86" t="n">
        <f aca="false">MOD(ROW()-2,7)+1</f>
        <v>5</v>
      </c>
    </row>
    <row r="259" customFormat="false" ht="15" hidden="false" customHeight="false" outlineLevel="0" collapsed="false">
      <c r="A259" s="85" t="str">
        <f aca="false">IF(INDEX(Candidates!$A$1:$A$500,K259)="","",INDEX(Candidates!$A$1:$A$500,K259))</f>
        <v/>
      </c>
      <c r="B259" s="85" t="str">
        <f aca="false">IF(A259="","",INDEX(Candidates!$C$1:$C$500,K259))</f>
        <v/>
      </c>
      <c r="C259" s="85" t="str">
        <f aca="false">IF(A259="","",INDEX(Candidates!$D$1:$D$500,K259))</f>
        <v/>
      </c>
      <c r="D259" s="85" t="str">
        <f aca="false">IF(A259="","",L259)</f>
        <v/>
      </c>
      <c r="E259" s="85" t="str">
        <f aca="false">IF(A259="","",INDEX($O$2:$O$8,L259))</f>
        <v/>
      </c>
      <c r="F259" s="85" t="str">
        <f aca="false">IF(A259="","",IF(ISNUMBER(INDEX(Candidates!$A$1:$Z$500,K259,INDEX($P$2:$P$8,L259))),INDEX(Candidates!$A$1:$Z$500,K259,INDEX($P$2:$P$8,L259)),""))</f>
        <v/>
      </c>
      <c r="G259" s="85" t="str">
        <f aca="false">IF(A259="","",INDEX($Q$2:$Q$8,L259))</f>
        <v/>
      </c>
      <c r="H259" s="85" t="str">
        <f aca="false">IF(A259="","",IF(F259="","Not yet scored",IF(F259&gt;=G259,"Pass","Fail")))</f>
        <v/>
      </c>
      <c r="I259" s="85" t="str">
        <f aca="false">IF(A259="","",INDEX(Candidates!$B$1:$B$500,K259))</f>
        <v/>
      </c>
      <c r="K259" s="86" t="n">
        <f aca="false">INT((ROW()-2)/7)+2</f>
        <v>38</v>
      </c>
      <c r="L259" s="86" t="n">
        <f aca="false">MOD(ROW()-2,7)+1</f>
        <v>6</v>
      </c>
    </row>
    <row r="260" customFormat="false" ht="15" hidden="false" customHeight="false" outlineLevel="0" collapsed="false">
      <c r="A260" s="85" t="str">
        <f aca="false">IF(INDEX(Candidates!$A$1:$A$500,K260)="","",INDEX(Candidates!$A$1:$A$500,K260))</f>
        <v/>
      </c>
      <c r="B260" s="85" t="str">
        <f aca="false">IF(A260="","",INDEX(Candidates!$C$1:$C$500,K260))</f>
        <v/>
      </c>
      <c r="C260" s="85" t="str">
        <f aca="false">IF(A260="","",INDEX(Candidates!$D$1:$D$500,K260))</f>
        <v/>
      </c>
      <c r="D260" s="85" t="str">
        <f aca="false">IF(A260="","",L260)</f>
        <v/>
      </c>
      <c r="E260" s="85" t="str">
        <f aca="false">IF(A260="","",INDEX($O$2:$O$8,L260))</f>
        <v/>
      </c>
      <c r="F260" s="85" t="str">
        <f aca="false">IF(A260="","",IF(ISNUMBER(INDEX(Candidates!$A$1:$Z$500,K260,INDEX($P$2:$P$8,L260))),INDEX(Candidates!$A$1:$Z$500,K260,INDEX($P$2:$P$8,L260)),""))</f>
        <v/>
      </c>
      <c r="G260" s="85" t="str">
        <f aca="false">IF(A260="","",INDEX($Q$2:$Q$8,L260))</f>
        <v/>
      </c>
      <c r="H260" s="85" t="str">
        <f aca="false">IF(A260="","",IF(F260="","Not yet scored",IF(F260&gt;=G260,"Pass","Fail")))</f>
        <v/>
      </c>
      <c r="I260" s="85" t="str">
        <f aca="false">IF(A260="","",INDEX(Candidates!$B$1:$B$500,K260))</f>
        <v/>
      </c>
      <c r="K260" s="86" t="n">
        <f aca="false">INT((ROW()-2)/7)+2</f>
        <v>38</v>
      </c>
      <c r="L260" s="86" t="n">
        <f aca="false">MOD(ROW()-2,7)+1</f>
        <v>7</v>
      </c>
    </row>
    <row r="261" customFormat="false" ht="15" hidden="false" customHeight="false" outlineLevel="0" collapsed="false">
      <c r="A261" s="85" t="str">
        <f aca="false">IF(INDEX(Candidates!$A$1:$A$500,K261)="","",INDEX(Candidates!$A$1:$A$500,K261))</f>
        <v/>
      </c>
      <c r="B261" s="85" t="str">
        <f aca="false">IF(A261="","",INDEX(Candidates!$C$1:$C$500,K261))</f>
        <v/>
      </c>
      <c r="C261" s="85" t="str">
        <f aca="false">IF(A261="","",INDEX(Candidates!$D$1:$D$500,K261))</f>
        <v/>
      </c>
      <c r="D261" s="85" t="str">
        <f aca="false">IF(A261="","",L261)</f>
        <v/>
      </c>
      <c r="E261" s="85" t="str">
        <f aca="false">IF(A261="","",INDEX($O$2:$O$8,L261))</f>
        <v/>
      </c>
      <c r="F261" s="85" t="str">
        <f aca="false">IF(A261="","",IF(ISNUMBER(INDEX(Candidates!$A$1:$Z$500,K261,INDEX($P$2:$P$8,L261))),INDEX(Candidates!$A$1:$Z$500,K261,INDEX($P$2:$P$8,L261)),""))</f>
        <v/>
      </c>
      <c r="G261" s="85" t="str">
        <f aca="false">IF(A261="","",INDEX($Q$2:$Q$8,L261))</f>
        <v/>
      </c>
      <c r="H261" s="85" t="str">
        <f aca="false">IF(A261="","",IF(F261="","Not yet scored",IF(F261&gt;=G261,"Pass","Fail")))</f>
        <v/>
      </c>
      <c r="I261" s="85" t="str">
        <f aca="false">IF(A261="","",INDEX(Candidates!$B$1:$B$500,K261))</f>
        <v/>
      </c>
      <c r="K261" s="86" t="n">
        <f aca="false">INT((ROW()-2)/7)+2</f>
        <v>39</v>
      </c>
      <c r="L261" s="86" t="n">
        <f aca="false">MOD(ROW()-2,7)+1</f>
        <v>1</v>
      </c>
    </row>
    <row r="262" customFormat="false" ht="15" hidden="false" customHeight="false" outlineLevel="0" collapsed="false">
      <c r="A262" s="85" t="str">
        <f aca="false">IF(INDEX(Candidates!$A$1:$A$500,K262)="","",INDEX(Candidates!$A$1:$A$500,K262))</f>
        <v/>
      </c>
      <c r="B262" s="85" t="str">
        <f aca="false">IF(A262="","",INDEX(Candidates!$C$1:$C$500,K262))</f>
        <v/>
      </c>
      <c r="C262" s="85" t="str">
        <f aca="false">IF(A262="","",INDEX(Candidates!$D$1:$D$500,K262))</f>
        <v/>
      </c>
      <c r="D262" s="85" t="str">
        <f aca="false">IF(A262="","",L262)</f>
        <v/>
      </c>
      <c r="E262" s="85" t="str">
        <f aca="false">IF(A262="","",INDEX($O$2:$O$8,L262))</f>
        <v/>
      </c>
      <c r="F262" s="85" t="str">
        <f aca="false">IF(A262="","",IF(ISNUMBER(INDEX(Candidates!$A$1:$Z$500,K262,INDEX($P$2:$P$8,L262))),INDEX(Candidates!$A$1:$Z$500,K262,INDEX($P$2:$P$8,L262)),""))</f>
        <v/>
      </c>
      <c r="G262" s="85" t="str">
        <f aca="false">IF(A262="","",INDEX($Q$2:$Q$8,L262))</f>
        <v/>
      </c>
      <c r="H262" s="85" t="str">
        <f aca="false">IF(A262="","",IF(F262="","Not yet scored",IF(F262&gt;=G262,"Pass","Fail")))</f>
        <v/>
      </c>
      <c r="I262" s="85" t="str">
        <f aca="false">IF(A262="","",INDEX(Candidates!$B$1:$B$500,K262))</f>
        <v/>
      </c>
      <c r="K262" s="86" t="n">
        <f aca="false">INT((ROW()-2)/7)+2</f>
        <v>39</v>
      </c>
      <c r="L262" s="86" t="n">
        <f aca="false">MOD(ROW()-2,7)+1</f>
        <v>2</v>
      </c>
    </row>
    <row r="263" customFormat="false" ht="15" hidden="false" customHeight="false" outlineLevel="0" collapsed="false">
      <c r="A263" s="85" t="str">
        <f aca="false">IF(INDEX(Candidates!$A$1:$A$500,K263)="","",INDEX(Candidates!$A$1:$A$500,K263))</f>
        <v/>
      </c>
      <c r="B263" s="85" t="str">
        <f aca="false">IF(A263="","",INDEX(Candidates!$C$1:$C$500,K263))</f>
        <v/>
      </c>
      <c r="C263" s="85" t="str">
        <f aca="false">IF(A263="","",INDEX(Candidates!$D$1:$D$500,K263))</f>
        <v/>
      </c>
      <c r="D263" s="85" t="str">
        <f aca="false">IF(A263="","",L263)</f>
        <v/>
      </c>
      <c r="E263" s="85" t="str">
        <f aca="false">IF(A263="","",INDEX($O$2:$O$8,L263))</f>
        <v/>
      </c>
      <c r="F263" s="85" t="str">
        <f aca="false">IF(A263="","",IF(ISNUMBER(INDEX(Candidates!$A$1:$Z$500,K263,INDEX($P$2:$P$8,L263))),INDEX(Candidates!$A$1:$Z$500,K263,INDEX($P$2:$P$8,L263)),""))</f>
        <v/>
      </c>
      <c r="G263" s="85" t="str">
        <f aca="false">IF(A263="","",INDEX($Q$2:$Q$8,L263))</f>
        <v/>
      </c>
      <c r="H263" s="85" t="str">
        <f aca="false">IF(A263="","",IF(F263="","Not yet scored",IF(F263&gt;=G263,"Pass","Fail")))</f>
        <v/>
      </c>
      <c r="I263" s="85" t="str">
        <f aca="false">IF(A263="","",INDEX(Candidates!$B$1:$B$500,K263))</f>
        <v/>
      </c>
      <c r="K263" s="86" t="n">
        <f aca="false">INT((ROW()-2)/7)+2</f>
        <v>39</v>
      </c>
      <c r="L263" s="86" t="n">
        <f aca="false">MOD(ROW()-2,7)+1</f>
        <v>3</v>
      </c>
    </row>
    <row r="264" customFormat="false" ht="15" hidden="false" customHeight="false" outlineLevel="0" collapsed="false">
      <c r="A264" s="85" t="str">
        <f aca="false">IF(INDEX(Candidates!$A$1:$A$500,K264)="","",INDEX(Candidates!$A$1:$A$500,K264))</f>
        <v/>
      </c>
      <c r="B264" s="85" t="str">
        <f aca="false">IF(A264="","",INDEX(Candidates!$C$1:$C$500,K264))</f>
        <v/>
      </c>
      <c r="C264" s="85" t="str">
        <f aca="false">IF(A264="","",INDEX(Candidates!$D$1:$D$500,K264))</f>
        <v/>
      </c>
      <c r="D264" s="85" t="str">
        <f aca="false">IF(A264="","",L264)</f>
        <v/>
      </c>
      <c r="E264" s="85" t="str">
        <f aca="false">IF(A264="","",INDEX($O$2:$O$8,L264))</f>
        <v/>
      </c>
      <c r="F264" s="85" t="str">
        <f aca="false">IF(A264="","",IF(ISNUMBER(INDEX(Candidates!$A$1:$Z$500,K264,INDEX($P$2:$P$8,L264))),INDEX(Candidates!$A$1:$Z$500,K264,INDEX($P$2:$P$8,L264)),""))</f>
        <v/>
      </c>
      <c r="G264" s="85" t="str">
        <f aca="false">IF(A264="","",INDEX($Q$2:$Q$8,L264))</f>
        <v/>
      </c>
      <c r="H264" s="85" t="str">
        <f aca="false">IF(A264="","",IF(F264="","Not yet scored",IF(F264&gt;=G264,"Pass","Fail")))</f>
        <v/>
      </c>
      <c r="I264" s="85" t="str">
        <f aca="false">IF(A264="","",INDEX(Candidates!$B$1:$B$500,K264))</f>
        <v/>
      </c>
      <c r="K264" s="86" t="n">
        <f aca="false">INT((ROW()-2)/7)+2</f>
        <v>39</v>
      </c>
      <c r="L264" s="86" t="n">
        <f aca="false">MOD(ROW()-2,7)+1</f>
        <v>4</v>
      </c>
    </row>
    <row r="265" customFormat="false" ht="15" hidden="false" customHeight="false" outlineLevel="0" collapsed="false">
      <c r="A265" s="85" t="str">
        <f aca="false">IF(INDEX(Candidates!$A$1:$A$500,K265)="","",INDEX(Candidates!$A$1:$A$500,K265))</f>
        <v/>
      </c>
      <c r="B265" s="85" t="str">
        <f aca="false">IF(A265="","",INDEX(Candidates!$C$1:$C$500,K265))</f>
        <v/>
      </c>
      <c r="C265" s="85" t="str">
        <f aca="false">IF(A265="","",INDEX(Candidates!$D$1:$D$500,K265))</f>
        <v/>
      </c>
      <c r="D265" s="85" t="str">
        <f aca="false">IF(A265="","",L265)</f>
        <v/>
      </c>
      <c r="E265" s="85" t="str">
        <f aca="false">IF(A265="","",INDEX($O$2:$O$8,L265))</f>
        <v/>
      </c>
      <c r="F265" s="85" t="str">
        <f aca="false">IF(A265="","",IF(ISNUMBER(INDEX(Candidates!$A$1:$Z$500,K265,INDEX($P$2:$P$8,L265))),INDEX(Candidates!$A$1:$Z$500,K265,INDEX($P$2:$P$8,L265)),""))</f>
        <v/>
      </c>
      <c r="G265" s="85" t="str">
        <f aca="false">IF(A265="","",INDEX($Q$2:$Q$8,L265))</f>
        <v/>
      </c>
      <c r="H265" s="85" t="str">
        <f aca="false">IF(A265="","",IF(F265="","Not yet scored",IF(F265&gt;=G265,"Pass","Fail")))</f>
        <v/>
      </c>
      <c r="I265" s="85" t="str">
        <f aca="false">IF(A265="","",INDEX(Candidates!$B$1:$B$500,K265))</f>
        <v/>
      </c>
      <c r="K265" s="86" t="n">
        <f aca="false">INT((ROW()-2)/7)+2</f>
        <v>39</v>
      </c>
      <c r="L265" s="86" t="n">
        <f aca="false">MOD(ROW()-2,7)+1</f>
        <v>5</v>
      </c>
    </row>
    <row r="266" customFormat="false" ht="15" hidden="false" customHeight="false" outlineLevel="0" collapsed="false">
      <c r="A266" s="85" t="str">
        <f aca="false">IF(INDEX(Candidates!$A$1:$A$500,K266)="","",INDEX(Candidates!$A$1:$A$500,K266))</f>
        <v/>
      </c>
      <c r="B266" s="85" t="str">
        <f aca="false">IF(A266="","",INDEX(Candidates!$C$1:$C$500,K266))</f>
        <v/>
      </c>
      <c r="C266" s="85" t="str">
        <f aca="false">IF(A266="","",INDEX(Candidates!$D$1:$D$500,K266))</f>
        <v/>
      </c>
      <c r="D266" s="85" t="str">
        <f aca="false">IF(A266="","",L266)</f>
        <v/>
      </c>
      <c r="E266" s="85" t="str">
        <f aca="false">IF(A266="","",INDEX($O$2:$O$8,L266))</f>
        <v/>
      </c>
      <c r="F266" s="85" t="str">
        <f aca="false">IF(A266="","",IF(ISNUMBER(INDEX(Candidates!$A$1:$Z$500,K266,INDEX($P$2:$P$8,L266))),INDEX(Candidates!$A$1:$Z$500,K266,INDEX($P$2:$P$8,L266)),""))</f>
        <v/>
      </c>
      <c r="G266" s="85" t="str">
        <f aca="false">IF(A266="","",INDEX($Q$2:$Q$8,L266))</f>
        <v/>
      </c>
      <c r="H266" s="85" t="str">
        <f aca="false">IF(A266="","",IF(F266="","Not yet scored",IF(F266&gt;=G266,"Pass","Fail")))</f>
        <v/>
      </c>
      <c r="I266" s="85" t="str">
        <f aca="false">IF(A266="","",INDEX(Candidates!$B$1:$B$500,K266))</f>
        <v/>
      </c>
      <c r="K266" s="86" t="n">
        <f aca="false">INT((ROW()-2)/7)+2</f>
        <v>39</v>
      </c>
      <c r="L266" s="86" t="n">
        <f aca="false">MOD(ROW()-2,7)+1</f>
        <v>6</v>
      </c>
    </row>
    <row r="267" customFormat="false" ht="15" hidden="false" customHeight="false" outlineLevel="0" collapsed="false">
      <c r="A267" s="85" t="str">
        <f aca="false">IF(INDEX(Candidates!$A$1:$A$500,K267)="","",INDEX(Candidates!$A$1:$A$500,K267))</f>
        <v/>
      </c>
      <c r="B267" s="85" t="str">
        <f aca="false">IF(A267="","",INDEX(Candidates!$C$1:$C$500,K267))</f>
        <v/>
      </c>
      <c r="C267" s="85" t="str">
        <f aca="false">IF(A267="","",INDEX(Candidates!$D$1:$D$500,K267))</f>
        <v/>
      </c>
      <c r="D267" s="85" t="str">
        <f aca="false">IF(A267="","",L267)</f>
        <v/>
      </c>
      <c r="E267" s="85" t="str">
        <f aca="false">IF(A267="","",INDEX($O$2:$O$8,L267))</f>
        <v/>
      </c>
      <c r="F267" s="85" t="str">
        <f aca="false">IF(A267="","",IF(ISNUMBER(INDEX(Candidates!$A$1:$Z$500,K267,INDEX($P$2:$P$8,L267))),INDEX(Candidates!$A$1:$Z$500,K267,INDEX($P$2:$P$8,L267)),""))</f>
        <v/>
      </c>
      <c r="G267" s="85" t="str">
        <f aca="false">IF(A267="","",INDEX($Q$2:$Q$8,L267))</f>
        <v/>
      </c>
      <c r="H267" s="85" t="str">
        <f aca="false">IF(A267="","",IF(F267="","Not yet scored",IF(F267&gt;=G267,"Pass","Fail")))</f>
        <v/>
      </c>
      <c r="I267" s="85" t="str">
        <f aca="false">IF(A267="","",INDEX(Candidates!$B$1:$B$500,K267))</f>
        <v/>
      </c>
      <c r="K267" s="86" t="n">
        <f aca="false">INT((ROW()-2)/7)+2</f>
        <v>39</v>
      </c>
      <c r="L267" s="86" t="n">
        <f aca="false">MOD(ROW()-2,7)+1</f>
        <v>7</v>
      </c>
    </row>
    <row r="268" customFormat="false" ht="15" hidden="false" customHeight="false" outlineLevel="0" collapsed="false">
      <c r="A268" s="85" t="str">
        <f aca="false">IF(INDEX(Candidates!$A$1:$A$500,K268)="","",INDEX(Candidates!$A$1:$A$500,K268))</f>
        <v/>
      </c>
      <c r="B268" s="85" t="str">
        <f aca="false">IF(A268="","",INDEX(Candidates!$C$1:$C$500,K268))</f>
        <v/>
      </c>
      <c r="C268" s="85" t="str">
        <f aca="false">IF(A268="","",INDEX(Candidates!$D$1:$D$500,K268))</f>
        <v/>
      </c>
      <c r="D268" s="85" t="str">
        <f aca="false">IF(A268="","",L268)</f>
        <v/>
      </c>
      <c r="E268" s="85" t="str">
        <f aca="false">IF(A268="","",INDEX($O$2:$O$8,L268))</f>
        <v/>
      </c>
      <c r="F268" s="85" t="str">
        <f aca="false">IF(A268="","",IF(ISNUMBER(INDEX(Candidates!$A$1:$Z$500,K268,INDEX($P$2:$P$8,L268))),INDEX(Candidates!$A$1:$Z$500,K268,INDEX($P$2:$P$8,L268)),""))</f>
        <v/>
      </c>
      <c r="G268" s="85" t="str">
        <f aca="false">IF(A268="","",INDEX($Q$2:$Q$8,L268))</f>
        <v/>
      </c>
      <c r="H268" s="85" t="str">
        <f aca="false">IF(A268="","",IF(F268="","Not yet scored",IF(F268&gt;=G268,"Pass","Fail")))</f>
        <v/>
      </c>
      <c r="I268" s="85" t="str">
        <f aca="false">IF(A268="","",INDEX(Candidates!$B$1:$B$500,K268))</f>
        <v/>
      </c>
      <c r="K268" s="86" t="n">
        <f aca="false">INT((ROW()-2)/7)+2</f>
        <v>40</v>
      </c>
      <c r="L268" s="86" t="n">
        <f aca="false">MOD(ROW()-2,7)+1</f>
        <v>1</v>
      </c>
    </row>
    <row r="269" customFormat="false" ht="15" hidden="false" customHeight="false" outlineLevel="0" collapsed="false">
      <c r="A269" s="85" t="str">
        <f aca="false">IF(INDEX(Candidates!$A$1:$A$500,K269)="","",INDEX(Candidates!$A$1:$A$500,K269))</f>
        <v/>
      </c>
      <c r="B269" s="85" t="str">
        <f aca="false">IF(A269="","",INDEX(Candidates!$C$1:$C$500,K269))</f>
        <v/>
      </c>
      <c r="C269" s="85" t="str">
        <f aca="false">IF(A269="","",INDEX(Candidates!$D$1:$D$500,K269))</f>
        <v/>
      </c>
      <c r="D269" s="85" t="str">
        <f aca="false">IF(A269="","",L269)</f>
        <v/>
      </c>
      <c r="E269" s="85" t="str">
        <f aca="false">IF(A269="","",INDEX($O$2:$O$8,L269))</f>
        <v/>
      </c>
      <c r="F269" s="85" t="str">
        <f aca="false">IF(A269="","",IF(ISNUMBER(INDEX(Candidates!$A$1:$Z$500,K269,INDEX($P$2:$P$8,L269))),INDEX(Candidates!$A$1:$Z$500,K269,INDEX($P$2:$P$8,L269)),""))</f>
        <v/>
      </c>
      <c r="G269" s="85" t="str">
        <f aca="false">IF(A269="","",INDEX($Q$2:$Q$8,L269))</f>
        <v/>
      </c>
      <c r="H269" s="85" t="str">
        <f aca="false">IF(A269="","",IF(F269="","Not yet scored",IF(F269&gt;=G269,"Pass","Fail")))</f>
        <v/>
      </c>
      <c r="I269" s="85" t="str">
        <f aca="false">IF(A269="","",INDEX(Candidates!$B$1:$B$500,K269))</f>
        <v/>
      </c>
      <c r="K269" s="86" t="n">
        <f aca="false">INT((ROW()-2)/7)+2</f>
        <v>40</v>
      </c>
      <c r="L269" s="86" t="n">
        <f aca="false">MOD(ROW()-2,7)+1</f>
        <v>2</v>
      </c>
    </row>
    <row r="270" customFormat="false" ht="15" hidden="false" customHeight="false" outlineLevel="0" collapsed="false">
      <c r="A270" s="85" t="str">
        <f aca="false">IF(INDEX(Candidates!$A$1:$A$500,K270)="","",INDEX(Candidates!$A$1:$A$500,K270))</f>
        <v/>
      </c>
      <c r="B270" s="85" t="str">
        <f aca="false">IF(A270="","",INDEX(Candidates!$C$1:$C$500,K270))</f>
        <v/>
      </c>
      <c r="C270" s="85" t="str">
        <f aca="false">IF(A270="","",INDEX(Candidates!$D$1:$D$500,K270))</f>
        <v/>
      </c>
      <c r="D270" s="85" t="str">
        <f aca="false">IF(A270="","",L270)</f>
        <v/>
      </c>
      <c r="E270" s="85" t="str">
        <f aca="false">IF(A270="","",INDEX($O$2:$O$8,L270))</f>
        <v/>
      </c>
      <c r="F270" s="85" t="str">
        <f aca="false">IF(A270="","",IF(ISNUMBER(INDEX(Candidates!$A$1:$Z$500,K270,INDEX($P$2:$P$8,L270))),INDEX(Candidates!$A$1:$Z$500,K270,INDEX($P$2:$P$8,L270)),""))</f>
        <v/>
      </c>
      <c r="G270" s="85" t="str">
        <f aca="false">IF(A270="","",INDEX($Q$2:$Q$8,L270))</f>
        <v/>
      </c>
      <c r="H270" s="85" t="str">
        <f aca="false">IF(A270="","",IF(F270="","Not yet scored",IF(F270&gt;=G270,"Pass","Fail")))</f>
        <v/>
      </c>
      <c r="I270" s="85" t="str">
        <f aca="false">IF(A270="","",INDEX(Candidates!$B$1:$B$500,K270))</f>
        <v/>
      </c>
      <c r="K270" s="86" t="n">
        <f aca="false">INT((ROW()-2)/7)+2</f>
        <v>40</v>
      </c>
      <c r="L270" s="86" t="n">
        <f aca="false">MOD(ROW()-2,7)+1</f>
        <v>3</v>
      </c>
    </row>
    <row r="271" customFormat="false" ht="15" hidden="false" customHeight="false" outlineLevel="0" collapsed="false">
      <c r="A271" s="85" t="str">
        <f aca="false">IF(INDEX(Candidates!$A$1:$A$500,K271)="","",INDEX(Candidates!$A$1:$A$500,K271))</f>
        <v/>
      </c>
      <c r="B271" s="85" t="str">
        <f aca="false">IF(A271="","",INDEX(Candidates!$C$1:$C$500,K271))</f>
        <v/>
      </c>
      <c r="C271" s="85" t="str">
        <f aca="false">IF(A271="","",INDEX(Candidates!$D$1:$D$500,K271))</f>
        <v/>
      </c>
      <c r="D271" s="85" t="str">
        <f aca="false">IF(A271="","",L271)</f>
        <v/>
      </c>
      <c r="E271" s="85" t="str">
        <f aca="false">IF(A271="","",INDEX($O$2:$O$8,L271))</f>
        <v/>
      </c>
      <c r="F271" s="85" t="str">
        <f aca="false">IF(A271="","",IF(ISNUMBER(INDEX(Candidates!$A$1:$Z$500,K271,INDEX($P$2:$P$8,L271))),INDEX(Candidates!$A$1:$Z$500,K271,INDEX($P$2:$P$8,L271)),""))</f>
        <v/>
      </c>
      <c r="G271" s="85" t="str">
        <f aca="false">IF(A271="","",INDEX($Q$2:$Q$8,L271))</f>
        <v/>
      </c>
      <c r="H271" s="85" t="str">
        <f aca="false">IF(A271="","",IF(F271="","Not yet scored",IF(F271&gt;=G271,"Pass","Fail")))</f>
        <v/>
      </c>
      <c r="I271" s="85" t="str">
        <f aca="false">IF(A271="","",INDEX(Candidates!$B$1:$B$500,K271))</f>
        <v/>
      </c>
      <c r="K271" s="86" t="n">
        <f aca="false">INT((ROW()-2)/7)+2</f>
        <v>40</v>
      </c>
      <c r="L271" s="86" t="n">
        <f aca="false">MOD(ROW()-2,7)+1</f>
        <v>4</v>
      </c>
    </row>
    <row r="272" customFormat="false" ht="15" hidden="false" customHeight="false" outlineLevel="0" collapsed="false">
      <c r="A272" s="85" t="str">
        <f aca="false">IF(INDEX(Candidates!$A$1:$A$500,K272)="","",INDEX(Candidates!$A$1:$A$500,K272))</f>
        <v/>
      </c>
      <c r="B272" s="85" t="str">
        <f aca="false">IF(A272="","",INDEX(Candidates!$C$1:$C$500,K272))</f>
        <v/>
      </c>
      <c r="C272" s="85" t="str">
        <f aca="false">IF(A272="","",INDEX(Candidates!$D$1:$D$500,K272))</f>
        <v/>
      </c>
      <c r="D272" s="85" t="str">
        <f aca="false">IF(A272="","",L272)</f>
        <v/>
      </c>
      <c r="E272" s="85" t="str">
        <f aca="false">IF(A272="","",INDEX($O$2:$O$8,L272))</f>
        <v/>
      </c>
      <c r="F272" s="85" t="str">
        <f aca="false">IF(A272="","",IF(ISNUMBER(INDEX(Candidates!$A$1:$Z$500,K272,INDEX($P$2:$P$8,L272))),INDEX(Candidates!$A$1:$Z$500,K272,INDEX($P$2:$P$8,L272)),""))</f>
        <v/>
      </c>
      <c r="G272" s="85" t="str">
        <f aca="false">IF(A272="","",INDEX($Q$2:$Q$8,L272))</f>
        <v/>
      </c>
      <c r="H272" s="85" t="str">
        <f aca="false">IF(A272="","",IF(F272="","Not yet scored",IF(F272&gt;=G272,"Pass","Fail")))</f>
        <v/>
      </c>
      <c r="I272" s="85" t="str">
        <f aca="false">IF(A272="","",INDEX(Candidates!$B$1:$B$500,K272))</f>
        <v/>
      </c>
      <c r="K272" s="86" t="n">
        <f aca="false">INT((ROW()-2)/7)+2</f>
        <v>40</v>
      </c>
      <c r="L272" s="86" t="n">
        <f aca="false">MOD(ROW()-2,7)+1</f>
        <v>5</v>
      </c>
    </row>
    <row r="273" customFormat="false" ht="15" hidden="false" customHeight="false" outlineLevel="0" collapsed="false">
      <c r="A273" s="85" t="str">
        <f aca="false">IF(INDEX(Candidates!$A$1:$A$500,K273)="","",INDEX(Candidates!$A$1:$A$500,K273))</f>
        <v/>
      </c>
      <c r="B273" s="85" t="str">
        <f aca="false">IF(A273="","",INDEX(Candidates!$C$1:$C$500,K273))</f>
        <v/>
      </c>
      <c r="C273" s="85" t="str">
        <f aca="false">IF(A273="","",INDEX(Candidates!$D$1:$D$500,K273))</f>
        <v/>
      </c>
      <c r="D273" s="85" t="str">
        <f aca="false">IF(A273="","",L273)</f>
        <v/>
      </c>
      <c r="E273" s="85" t="str">
        <f aca="false">IF(A273="","",INDEX($O$2:$O$8,L273))</f>
        <v/>
      </c>
      <c r="F273" s="85" t="str">
        <f aca="false">IF(A273="","",IF(ISNUMBER(INDEX(Candidates!$A$1:$Z$500,K273,INDEX($P$2:$P$8,L273))),INDEX(Candidates!$A$1:$Z$500,K273,INDEX($P$2:$P$8,L273)),""))</f>
        <v/>
      </c>
      <c r="G273" s="85" t="str">
        <f aca="false">IF(A273="","",INDEX($Q$2:$Q$8,L273))</f>
        <v/>
      </c>
      <c r="H273" s="85" t="str">
        <f aca="false">IF(A273="","",IF(F273="","Not yet scored",IF(F273&gt;=G273,"Pass","Fail")))</f>
        <v/>
      </c>
      <c r="I273" s="85" t="str">
        <f aca="false">IF(A273="","",INDEX(Candidates!$B$1:$B$500,K273))</f>
        <v/>
      </c>
      <c r="K273" s="86" t="n">
        <f aca="false">INT((ROW()-2)/7)+2</f>
        <v>40</v>
      </c>
      <c r="L273" s="86" t="n">
        <f aca="false">MOD(ROW()-2,7)+1</f>
        <v>6</v>
      </c>
    </row>
    <row r="274" customFormat="false" ht="15" hidden="false" customHeight="false" outlineLevel="0" collapsed="false">
      <c r="A274" s="85" t="str">
        <f aca="false">IF(INDEX(Candidates!$A$1:$A$500,K274)="","",INDEX(Candidates!$A$1:$A$500,K274))</f>
        <v/>
      </c>
      <c r="B274" s="85" t="str">
        <f aca="false">IF(A274="","",INDEX(Candidates!$C$1:$C$500,K274))</f>
        <v/>
      </c>
      <c r="C274" s="85" t="str">
        <f aca="false">IF(A274="","",INDEX(Candidates!$D$1:$D$500,K274))</f>
        <v/>
      </c>
      <c r="D274" s="85" t="str">
        <f aca="false">IF(A274="","",L274)</f>
        <v/>
      </c>
      <c r="E274" s="85" t="str">
        <f aca="false">IF(A274="","",INDEX($O$2:$O$8,L274))</f>
        <v/>
      </c>
      <c r="F274" s="85" t="str">
        <f aca="false">IF(A274="","",IF(ISNUMBER(INDEX(Candidates!$A$1:$Z$500,K274,INDEX($P$2:$P$8,L274))),INDEX(Candidates!$A$1:$Z$500,K274,INDEX($P$2:$P$8,L274)),""))</f>
        <v/>
      </c>
      <c r="G274" s="85" t="str">
        <f aca="false">IF(A274="","",INDEX($Q$2:$Q$8,L274))</f>
        <v/>
      </c>
      <c r="H274" s="85" t="str">
        <f aca="false">IF(A274="","",IF(F274="","Not yet scored",IF(F274&gt;=G274,"Pass","Fail")))</f>
        <v/>
      </c>
      <c r="I274" s="85" t="str">
        <f aca="false">IF(A274="","",INDEX(Candidates!$B$1:$B$500,K274))</f>
        <v/>
      </c>
      <c r="K274" s="86" t="n">
        <f aca="false">INT((ROW()-2)/7)+2</f>
        <v>40</v>
      </c>
      <c r="L274" s="86" t="n">
        <f aca="false">MOD(ROW()-2,7)+1</f>
        <v>7</v>
      </c>
    </row>
    <row r="275" customFormat="false" ht="15" hidden="false" customHeight="false" outlineLevel="0" collapsed="false">
      <c r="A275" s="85" t="str">
        <f aca="false">IF(INDEX(Candidates!$A$1:$A$500,K275)="","",INDEX(Candidates!$A$1:$A$500,K275))</f>
        <v/>
      </c>
      <c r="B275" s="85" t="str">
        <f aca="false">IF(A275="","",INDEX(Candidates!$C$1:$C$500,K275))</f>
        <v/>
      </c>
      <c r="C275" s="85" t="str">
        <f aca="false">IF(A275="","",INDEX(Candidates!$D$1:$D$500,K275))</f>
        <v/>
      </c>
      <c r="D275" s="85" t="str">
        <f aca="false">IF(A275="","",L275)</f>
        <v/>
      </c>
      <c r="E275" s="85" t="str">
        <f aca="false">IF(A275="","",INDEX($O$2:$O$8,L275))</f>
        <v/>
      </c>
      <c r="F275" s="85" t="str">
        <f aca="false">IF(A275="","",IF(ISNUMBER(INDEX(Candidates!$A$1:$Z$500,K275,INDEX($P$2:$P$8,L275))),INDEX(Candidates!$A$1:$Z$500,K275,INDEX($P$2:$P$8,L275)),""))</f>
        <v/>
      </c>
      <c r="G275" s="85" t="str">
        <f aca="false">IF(A275="","",INDEX($Q$2:$Q$8,L275))</f>
        <v/>
      </c>
      <c r="H275" s="85" t="str">
        <f aca="false">IF(A275="","",IF(F275="","Not yet scored",IF(F275&gt;=G275,"Pass","Fail")))</f>
        <v/>
      </c>
      <c r="I275" s="85" t="str">
        <f aca="false">IF(A275="","",INDEX(Candidates!$B$1:$B$500,K275))</f>
        <v/>
      </c>
      <c r="K275" s="86" t="n">
        <f aca="false">INT((ROW()-2)/7)+2</f>
        <v>41</v>
      </c>
      <c r="L275" s="86" t="n">
        <f aca="false">MOD(ROW()-2,7)+1</f>
        <v>1</v>
      </c>
    </row>
    <row r="276" customFormat="false" ht="15" hidden="false" customHeight="false" outlineLevel="0" collapsed="false">
      <c r="A276" s="85" t="str">
        <f aca="false">IF(INDEX(Candidates!$A$1:$A$500,K276)="","",INDEX(Candidates!$A$1:$A$500,K276))</f>
        <v/>
      </c>
      <c r="B276" s="85" t="str">
        <f aca="false">IF(A276="","",INDEX(Candidates!$C$1:$C$500,K276))</f>
        <v/>
      </c>
      <c r="C276" s="85" t="str">
        <f aca="false">IF(A276="","",INDEX(Candidates!$D$1:$D$500,K276))</f>
        <v/>
      </c>
      <c r="D276" s="85" t="str">
        <f aca="false">IF(A276="","",L276)</f>
        <v/>
      </c>
      <c r="E276" s="85" t="str">
        <f aca="false">IF(A276="","",INDEX($O$2:$O$8,L276))</f>
        <v/>
      </c>
      <c r="F276" s="85" t="str">
        <f aca="false">IF(A276="","",IF(ISNUMBER(INDEX(Candidates!$A$1:$Z$500,K276,INDEX($P$2:$P$8,L276))),INDEX(Candidates!$A$1:$Z$500,K276,INDEX($P$2:$P$8,L276)),""))</f>
        <v/>
      </c>
      <c r="G276" s="85" t="str">
        <f aca="false">IF(A276="","",INDEX($Q$2:$Q$8,L276))</f>
        <v/>
      </c>
      <c r="H276" s="85" t="str">
        <f aca="false">IF(A276="","",IF(F276="","Not yet scored",IF(F276&gt;=G276,"Pass","Fail")))</f>
        <v/>
      </c>
      <c r="I276" s="85" t="str">
        <f aca="false">IF(A276="","",INDEX(Candidates!$B$1:$B$500,K276))</f>
        <v/>
      </c>
      <c r="K276" s="86" t="n">
        <f aca="false">INT((ROW()-2)/7)+2</f>
        <v>41</v>
      </c>
      <c r="L276" s="86" t="n">
        <f aca="false">MOD(ROW()-2,7)+1</f>
        <v>2</v>
      </c>
    </row>
    <row r="277" customFormat="false" ht="15" hidden="false" customHeight="false" outlineLevel="0" collapsed="false">
      <c r="A277" s="85" t="str">
        <f aca="false">IF(INDEX(Candidates!$A$1:$A$500,K277)="","",INDEX(Candidates!$A$1:$A$500,K277))</f>
        <v/>
      </c>
      <c r="B277" s="85" t="str">
        <f aca="false">IF(A277="","",INDEX(Candidates!$C$1:$C$500,K277))</f>
        <v/>
      </c>
      <c r="C277" s="85" t="str">
        <f aca="false">IF(A277="","",INDEX(Candidates!$D$1:$D$500,K277))</f>
        <v/>
      </c>
      <c r="D277" s="85" t="str">
        <f aca="false">IF(A277="","",L277)</f>
        <v/>
      </c>
      <c r="E277" s="85" t="str">
        <f aca="false">IF(A277="","",INDEX($O$2:$O$8,L277))</f>
        <v/>
      </c>
      <c r="F277" s="85" t="str">
        <f aca="false">IF(A277="","",IF(ISNUMBER(INDEX(Candidates!$A$1:$Z$500,K277,INDEX($P$2:$P$8,L277))),INDEX(Candidates!$A$1:$Z$500,K277,INDEX($P$2:$P$8,L277)),""))</f>
        <v/>
      </c>
      <c r="G277" s="85" t="str">
        <f aca="false">IF(A277="","",INDEX($Q$2:$Q$8,L277))</f>
        <v/>
      </c>
      <c r="H277" s="85" t="str">
        <f aca="false">IF(A277="","",IF(F277="","Not yet scored",IF(F277&gt;=G277,"Pass","Fail")))</f>
        <v/>
      </c>
      <c r="I277" s="85" t="str">
        <f aca="false">IF(A277="","",INDEX(Candidates!$B$1:$B$500,K277))</f>
        <v/>
      </c>
      <c r="K277" s="86" t="n">
        <f aca="false">INT((ROW()-2)/7)+2</f>
        <v>41</v>
      </c>
      <c r="L277" s="86" t="n">
        <f aca="false">MOD(ROW()-2,7)+1</f>
        <v>3</v>
      </c>
    </row>
    <row r="278" customFormat="false" ht="15" hidden="false" customHeight="false" outlineLevel="0" collapsed="false">
      <c r="A278" s="85" t="str">
        <f aca="false">IF(INDEX(Candidates!$A$1:$A$500,K278)="","",INDEX(Candidates!$A$1:$A$500,K278))</f>
        <v/>
      </c>
      <c r="B278" s="85" t="str">
        <f aca="false">IF(A278="","",INDEX(Candidates!$C$1:$C$500,K278))</f>
        <v/>
      </c>
      <c r="C278" s="85" t="str">
        <f aca="false">IF(A278="","",INDEX(Candidates!$D$1:$D$500,K278))</f>
        <v/>
      </c>
      <c r="D278" s="85" t="str">
        <f aca="false">IF(A278="","",L278)</f>
        <v/>
      </c>
      <c r="E278" s="85" t="str">
        <f aca="false">IF(A278="","",INDEX($O$2:$O$8,L278))</f>
        <v/>
      </c>
      <c r="F278" s="85" t="str">
        <f aca="false">IF(A278="","",IF(ISNUMBER(INDEX(Candidates!$A$1:$Z$500,K278,INDEX($P$2:$P$8,L278))),INDEX(Candidates!$A$1:$Z$500,K278,INDEX($P$2:$P$8,L278)),""))</f>
        <v/>
      </c>
      <c r="G278" s="85" t="str">
        <f aca="false">IF(A278="","",INDEX($Q$2:$Q$8,L278))</f>
        <v/>
      </c>
      <c r="H278" s="85" t="str">
        <f aca="false">IF(A278="","",IF(F278="","Not yet scored",IF(F278&gt;=G278,"Pass","Fail")))</f>
        <v/>
      </c>
      <c r="I278" s="85" t="str">
        <f aca="false">IF(A278="","",INDEX(Candidates!$B$1:$B$500,K278))</f>
        <v/>
      </c>
      <c r="K278" s="86" t="n">
        <f aca="false">INT((ROW()-2)/7)+2</f>
        <v>41</v>
      </c>
      <c r="L278" s="86" t="n">
        <f aca="false">MOD(ROW()-2,7)+1</f>
        <v>4</v>
      </c>
    </row>
    <row r="279" customFormat="false" ht="15" hidden="false" customHeight="false" outlineLevel="0" collapsed="false">
      <c r="A279" s="85" t="str">
        <f aca="false">IF(INDEX(Candidates!$A$1:$A$500,K279)="","",INDEX(Candidates!$A$1:$A$500,K279))</f>
        <v/>
      </c>
      <c r="B279" s="85" t="str">
        <f aca="false">IF(A279="","",INDEX(Candidates!$C$1:$C$500,K279))</f>
        <v/>
      </c>
      <c r="C279" s="85" t="str">
        <f aca="false">IF(A279="","",INDEX(Candidates!$D$1:$D$500,K279))</f>
        <v/>
      </c>
      <c r="D279" s="85" t="str">
        <f aca="false">IF(A279="","",L279)</f>
        <v/>
      </c>
      <c r="E279" s="85" t="str">
        <f aca="false">IF(A279="","",INDEX($O$2:$O$8,L279))</f>
        <v/>
      </c>
      <c r="F279" s="85" t="str">
        <f aca="false">IF(A279="","",IF(ISNUMBER(INDEX(Candidates!$A$1:$Z$500,K279,INDEX($P$2:$P$8,L279))),INDEX(Candidates!$A$1:$Z$500,K279,INDEX($P$2:$P$8,L279)),""))</f>
        <v/>
      </c>
      <c r="G279" s="85" t="str">
        <f aca="false">IF(A279="","",INDEX($Q$2:$Q$8,L279))</f>
        <v/>
      </c>
      <c r="H279" s="85" t="str">
        <f aca="false">IF(A279="","",IF(F279="","Not yet scored",IF(F279&gt;=G279,"Pass","Fail")))</f>
        <v/>
      </c>
      <c r="I279" s="85" t="str">
        <f aca="false">IF(A279="","",INDEX(Candidates!$B$1:$B$500,K279))</f>
        <v/>
      </c>
      <c r="K279" s="86" t="n">
        <f aca="false">INT((ROW()-2)/7)+2</f>
        <v>41</v>
      </c>
      <c r="L279" s="86" t="n">
        <f aca="false">MOD(ROW()-2,7)+1</f>
        <v>5</v>
      </c>
    </row>
    <row r="280" customFormat="false" ht="15" hidden="false" customHeight="false" outlineLevel="0" collapsed="false">
      <c r="A280" s="85" t="str">
        <f aca="false">IF(INDEX(Candidates!$A$1:$A$500,K280)="","",INDEX(Candidates!$A$1:$A$500,K280))</f>
        <v/>
      </c>
      <c r="B280" s="85" t="str">
        <f aca="false">IF(A280="","",INDEX(Candidates!$C$1:$C$500,K280))</f>
        <v/>
      </c>
      <c r="C280" s="85" t="str">
        <f aca="false">IF(A280="","",INDEX(Candidates!$D$1:$D$500,K280))</f>
        <v/>
      </c>
      <c r="D280" s="85" t="str">
        <f aca="false">IF(A280="","",L280)</f>
        <v/>
      </c>
      <c r="E280" s="85" t="str">
        <f aca="false">IF(A280="","",INDEX($O$2:$O$8,L280))</f>
        <v/>
      </c>
      <c r="F280" s="85" t="str">
        <f aca="false">IF(A280="","",IF(ISNUMBER(INDEX(Candidates!$A$1:$Z$500,K280,INDEX($P$2:$P$8,L280))),INDEX(Candidates!$A$1:$Z$500,K280,INDEX($P$2:$P$8,L280)),""))</f>
        <v/>
      </c>
      <c r="G280" s="85" t="str">
        <f aca="false">IF(A280="","",INDEX($Q$2:$Q$8,L280))</f>
        <v/>
      </c>
      <c r="H280" s="85" t="str">
        <f aca="false">IF(A280="","",IF(F280="","Not yet scored",IF(F280&gt;=G280,"Pass","Fail")))</f>
        <v/>
      </c>
      <c r="I280" s="85" t="str">
        <f aca="false">IF(A280="","",INDEX(Candidates!$B$1:$B$500,K280))</f>
        <v/>
      </c>
      <c r="K280" s="86" t="n">
        <f aca="false">INT((ROW()-2)/7)+2</f>
        <v>41</v>
      </c>
      <c r="L280" s="86" t="n">
        <f aca="false">MOD(ROW()-2,7)+1</f>
        <v>6</v>
      </c>
    </row>
    <row r="281" customFormat="false" ht="15" hidden="false" customHeight="false" outlineLevel="0" collapsed="false">
      <c r="A281" s="85" t="str">
        <f aca="false">IF(INDEX(Candidates!$A$1:$A$500,K281)="","",INDEX(Candidates!$A$1:$A$500,K281))</f>
        <v/>
      </c>
      <c r="B281" s="85" t="str">
        <f aca="false">IF(A281="","",INDEX(Candidates!$C$1:$C$500,K281))</f>
        <v/>
      </c>
      <c r="C281" s="85" t="str">
        <f aca="false">IF(A281="","",INDEX(Candidates!$D$1:$D$500,K281))</f>
        <v/>
      </c>
      <c r="D281" s="85" t="str">
        <f aca="false">IF(A281="","",L281)</f>
        <v/>
      </c>
      <c r="E281" s="85" t="str">
        <f aca="false">IF(A281="","",INDEX($O$2:$O$8,L281))</f>
        <v/>
      </c>
      <c r="F281" s="85" t="str">
        <f aca="false">IF(A281="","",IF(ISNUMBER(INDEX(Candidates!$A$1:$Z$500,K281,INDEX($P$2:$P$8,L281))),INDEX(Candidates!$A$1:$Z$500,K281,INDEX($P$2:$P$8,L281)),""))</f>
        <v/>
      </c>
      <c r="G281" s="85" t="str">
        <f aca="false">IF(A281="","",INDEX($Q$2:$Q$8,L281))</f>
        <v/>
      </c>
      <c r="H281" s="85" t="str">
        <f aca="false">IF(A281="","",IF(F281="","Not yet scored",IF(F281&gt;=G281,"Pass","Fail")))</f>
        <v/>
      </c>
      <c r="I281" s="85" t="str">
        <f aca="false">IF(A281="","",INDEX(Candidates!$B$1:$B$500,K281))</f>
        <v/>
      </c>
      <c r="K281" s="86" t="n">
        <f aca="false">INT((ROW()-2)/7)+2</f>
        <v>41</v>
      </c>
      <c r="L281" s="86" t="n">
        <f aca="false">MOD(ROW()-2,7)+1</f>
        <v>7</v>
      </c>
    </row>
    <row r="282" customFormat="false" ht="15" hidden="false" customHeight="false" outlineLevel="0" collapsed="false">
      <c r="A282" s="85" t="str">
        <f aca="false">IF(INDEX(Candidates!$A$1:$A$500,K282)="","",INDEX(Candidates!$A$1:$A$500,K282))</f>
        <v/>
      </c>
      <c r="B282" s="85" t="str">
        <f aca="false">IF(A282="","",INDEX(Candidates!$C$1:$C$500,K282))</f>
        <v/>
      </c>
      <c r="C282" s="85" t="str">
        <f aca="false">IF(A282="","",INDEX(Candidates!$D$1:$D$500,K282))</f>
        <v/>
      </c>
      <c r="D282" s="85" t="str">
        <f aca="false">IF(A282="","",L282)</f>
        <v/>
      </c>
      <c r="E282" s="85" t="str">
        <f aca="false">IF(A282="","",INDEX($O$2:$O$8,L282))</f>
        <v/>
      </c>
      <c r="F282" s="85" t="str">
        <f aca="false">IF(A282="","",IF(ISNUMBER(INDEX(Candidates!$A$1:$Z$500,K282,INDEX($P$2:$P$8,L282))),INDEX(Candidates!$A$1:$Z$500,K282,INDEX($P$2:$P$8,L282)),""))</f>
        <v/>
      </c>
      <c r="G282" s="85" t="str">
        <f aca="false">IF(A282="","",INDEX($Q$2:$Q$8,L282))</f>
        <v/>
      </c>
      <c r="H282" s="85" t="str">
        <f aca="false">IF(A282="","",IF(F282="","Not yet scored",IF(F282&gt;=G282,"Pass","Fail")))</f>
        <v/>
      </c>
      <c r="I282" s="85" t="str">
        <f aca="false">IF(A282="","",INDEX(Candidates!$B$1:$B$500,K282))</f>
        <v/>
      </c>
      <c r="K282" s="86" t="n">
        <f aca="false">INT((ROW()-2)/7)+2</f>
        <v>42</v>
      </c>
      <c r="L282" s="86" t="n">
        <f aca="false">MOD(ROW()-2,7)+1</f>
        <v>1</v>
      </c>
    </row>
    <row r="283" customFormat="false" ht="15" hidden="false" customHeight="false" outlineLevel="0" collapsed="false">
      <c r="A283" s="85" t="str">
        <f aca="false">IF(INDEX(Candidates!$A$1:$A$500,K283)="","",INDEX(Candidates!$A$1:$A$500,K283))</f>
        <v/>
      </c>
      <c r="B283" s="85" t="str">
        <f aca="false">IF(A283="","",INDEX(Candidates!$C$1:$C$500,K283))</f>
        <v/>
      </c>
      <c r="C283" s="85" t="str">
        <f aca="false">IF(A283="","",INDEX(Candidates!$D$1:$D$500,K283))</f>
        <v/>
      </c>
      <c r="D283" s="85" t="str">
        <f aca="false">IF(A283="","",L283)</f>
        <v/>
      </c>
      <c r="E283" s="85" t="str">
        <f aca="false">IF(A283="","",INDEX($O$2:$O$8,L283))</f>
        <v/>
      </c>
      <c r="F283" s="85" t="str">
        <f aca="false">IF(A283="","",IF(ISNUMBER(INDEX(Candidates!$A$1:$Z$500,K283,INDEX($P$2:$P$8,L283))),INDEX(Candidates!$A$1:$Z$500,K283,INDEX($P$2:$P$8,L283)),""))</f>
        <v/>
      </c>
      <c r="G283" s="85" t="str">
        <f aca="false">IF(A283="","",INDEX($Q$2:$Q$8,L283))</f>
        <v/>
      </c>
      <c r="H283" s="85" t="str">
        <f aca="false">IF(A283="","",IF(F283="","Not yet scored",IF(F283&gt;=G283,"Pass","Fail")))</f>
        <v/>
      </c>
      <c r="I283" s="85" t="str">
        <f aca="false">IF(A283="","",INDEX(Candidates!$B$1:$B$500,K283))</f>
        <v/>
      </c>
      <c r="K283" s="86" t="n">
        <f aca="false">INT((ROW()-2)/7)+2</f>
        <v>42</v>
      </c>
      <c r="L283" s="86" t="n">
        <f aca="false">MOD(ROW()-2,7)+1</f>
        <v>2</v>
      </c>
    </row>
    <row r="284" customFormat="false" ht="15" hidden="false" customHeight="false" outlineLevel="0" collapsed="false">
      <c r="A284" s="85" t="str">
        <f aca="false">IF(INDEX(Candidates!$A$1:$A$500,K284)="","",INDEX(Candidates!$A$1:$A$500,K284))</f>
        <v/>
      </c>
      <c r="B284" s="85" t="str">
        <f aca="false">IF(A284="","",INDEX(Candidates!$C$1:$C$500,K284))</f>
        <v/>
      </c>
      <c r="C284" s="85" t="str">
        <f aca="false">IF(A284="","",INDEX(Candidates!$D$1:$D$500,K284))</f>
        <v/>
      </c>
      <c r="D284" s="85" t="str">
        <f aca="false">IF(A284="","",L284)</f>
        <v/>
      </c>
      <c r="E284" s="85" t="str">
        <f aca="false">IF(A284="","",INDEX($O$2:$O$8,L284))</f>
        <v/>
      </c>
      <c r="F284" s="85" t="str">
        <f aca="false">IF(A284="","",IF(ISNUMBER(INDEX(Candidates!$A$1:$Z$500,K284,INDEX($P$2:$P$8,L284))),INDEX(Candidates!$A$1:$Z$500,K284,INDEX($P$2:$P$8,L284)),""))</f>
        <v/>
      </c>
      <c r="G284" s="85" t="str">
        <f aca="false">IF(A284="","",INDEX($Q$2:$Q$8,L284))</f>
        <v/>
      </c>
      <c r="H284" s="85" t="str">
        <f aca="false">IF(A284="","",IF(F284="","Not yet scored",IF(F284&gt;=G284,"Pass","Fail")))</f>
        <v/>
      </c>
      <c r="I284" s="85" t="str">
        <f aca="false">IF(A284="","",INDEX(Candidates!$B$1:$B$500,K284))</f>
        <v/>
      </c>
      <c r="K284" s="86" t="n">
        <f aca="false">INT((ROW()-2)/7)+2</f>
        <v>42</v>
      </c>
      <c r="L284" s="86" t="n">
        <f aca="false">MOD(ROW()-2,7)+1</f>
        <v>3</v>
      </c>
    </row>
    <row r="285" customFormat="false" ht="15" hidden="false" customHeight="false" outlineLevel="0" collapsed="false">
      <c r="A285" s="85" t="str">
        <f aca="false">IF(INDEX(Candidates!$A$1:$A$500,K285)="","",INDEX(Candidates!$A$1:$A$500,K285))</f>
        <v/>
      </c>
      <c r="B285" s="85" t="str">
        <f aca="false">IF(A285="","",INDEX(Candidates!$C$1:$C$500,K285))</f>
        <v/>
      </c>
      <c r="C285" s="85" t="str">
        <f aca="false">IF(A285="","",INDEX(Candidates!$D$1:$D$500,K285))</f>
        <v/>
      </c>
      <c r="D285" s="85" t="str">
        <f aca="false">IF(A285="","",L285)</f>
        <v/>
      </c>
      <c r="E285" s="85" t="str">
        <f aca="false">IF(A285="","",INDEX($O$2:$O$8,L285))</f>
        <v/>
      </c>
      <c r="F285" s="85" t="str">
        <f aca="false">IF(A285="","",IF(ISNUMBER(INDEX(Candidates!$A$1:$Z$500,K285,INDEX($P$2:$P$8,L285))),INDEX(Candidates!$A$1:$Z$500,K285,INDEX($P$2:$P$8,L285)),""))</f>
        <v/>
      </c>
      <c r="G285" s="85" t="str">
        <f aca="false">IF(A285="","",INDEX($Q$2:$Q$8,L285))</f>
        <v/>
      </c>
      <c r="H285" s="85" t="str">
        <f aca="false">IF(A285="","",IF(F285="","Not yet scored",IF(F285&gt;=G285,"Pass","Fail")))</f>
        <v/>
      </c>
      <c r="I285" s="85" t="str">
        <f aca="false">IF(A285="","",INDEX(Candidates!$B$1:$B$500,K285))</f>
        <v/>
      </c>
      <c r="K285" s="86" t="n">
        <f aca="false">INT((ROW()-2)/7)+2</f>
        <v>42</v>
      </c>
      <c r="L285" s="86" t="n">
        <f aca="false">MOD(ROW()-2,7)+1</f>
        <v>4</v>
      </c>
    </row>
    <row r="286" customFormat="false" ht="15" hidden="false" customHeight="false" outlineLevel="0" collapsed="false">
      <c r="A286" s="85" t="str">
        <f aca="false">IF(INDEX(Candidates!$A$1:$A$500,K286)="","",INDEX(Candidates!$A$1:$A$500,K286))</f>
        <v/>
      </c>
      <c r="B286" s="85" t="str">
        <f aca="false">IF(A286="","",INDEX(Candidates!$C$1:$C$500,K286))</f>
        <v/>
      </c>
      <c r="C286" s="85" t="str">
        <f aca="false">IF(A286="","",INDEX(Candidates!$D$1:$D$500,K286))</f>
        <v/>
      </c>
      <c r="D286" s="85" t="str">
        <f aca="false">IF(A286="","",L286)</f>
        <v/>
      </c>
      <c r="E286" s="85" t="str">
        <f aca="false">IF(A286="","",INDEX($O$2:$O$8,L286))</f>
        <v/>
      </c>
      <c r="F286" s="85" t="str">
        <f aca="false">IF(A286="","",IF(ISNUMBER(INDEX(Candidates!$A$1:$Z$500,K286,INDEX($P$2:$P$8,L286))),INDEX(Candidates!$A$1:$Z$500,K286,INDEX($P$2:$P$8,L286)),""))</f>
        <v/>
      </c>
      <c r="G286" s="85" t="str">
        <f aca="false">IF(A286="","",INDEX($Q$2:$Q$8,L286))</f>
        <v/>
      </c>
      <c r="H286" s="85" t="str">
        <f aca="false">IF(A286="","",IF(F286="","Not yet scored",IF(F286&gt;=G286,"Pass","Fail")))</f>
        <v/>
      </c>
      <c r="I286" s="85" t="str">
        <f aca="false">IF(A286="","",INDEX(Candidates!$B$1:$B$500,K286))</f>
        <v/>
      </c>
      <c r="K286" s="86" t="n">
        <f aca="false">INT((ROW()-2)/7)+2</f>
        <v>42</v>
      </c>
      <c r="L286" s="86" t="n">
        <f aca="false">MOD(ROW()-2,7)+1</f>
        <v>5</v>
      </c>
    </row>
    <row r="287" customFormat="false" ht="15" hidden="false" customHeight="false" outlineLevel="0" collapsed="false">
      <c r="A287" s="85" t="str">
        <f aca="false">IF(INDEX(Candidates!$A$1:$A$500,K287)="","",INDEX(Candidates!$A$1:$A$500,K287))</f>
        <v/>
      </c>
      <c r="B287" s="85" t="str">
        <f aca="false">IF(A287="","",INDEX(Candidates!$C$1:$C$500,K287))</f>
        <v/>
      </c>
      <c r="C287" s="85" t="str">
        <f aca="false">IF(A287="","",INDEX(Candidates!$D$1:$D$500,K287))</f>
        <v/>
      </c>
      <c r="D287" s="85" t="str">
        <f aca="false">IF(A287="","",L287)</f>
        <v/>
      </c>
      <c r="E287" s="85" t="str">
        <f aca="false">IF(A287="","",INDEX($O$2:$O$8,L287))</f>
        <v/>
      </c>
      <c r="F287" s="85" t="str">
        <f aca="false">IF(A287="","",IF(ISNUMBER(INDEX(Candidates!$A$1:$Z$500,K287,INDEX($P$2:$P$8,L287))),INDEX(Candidates!$A$1:$Z$500,K287,INDEX($P$2:$P$8,L287)),""))</f>
        <v/>
      </c>
      <c r="G287" s="85" t="str">
        <f aca="false">IF(A287="","",INDEX($Q$2:$Q$8,L287))</f>
        <v/>
      </c>
      <c r="H287" s="85" t="str">
        <f aca="false">IF(A287="","",IF(F287="","Not yet scored",IF(F287&gt;=G287,"Pass","Fail")))</f>
        <v/>
      </c>
      <c r="I287" s="85" t="str">
        <f aca="false">IF(A287="","",INDEX(Candidates!$B$1:$B$500,K287))</f>
        <v/>
      </c>
      <c r="K287" s="86" t="n">
        <f aca="false">INT((ROW()-2)/7)+2</f>
        <v>42</v>
      </c>
      <c r="L287" s="86" t="n">
        <f aca="false">MOD(ROW()-2,7)+1</f>
        <v>6</v>
      </c>
    </row>
    <row r="288" customFormat="false" ht="15" hidden="false" customHeight="false" outlineLevel="0" collapsed="false">
      <c r="A288" s="85" t="str">
        <f aca="false">IF(INDEX(Candidates!$A$1:$A$500,K288)="","",INDEX(Candidates!$A$1:$A$500,K288))</f>
        <v/>
      </c>
      <c r="B288" s="85" t="str">
        <f aca="false">IF(A288="","",INDEX(Candidates!$C$1:$C$500,K288))</f>
        <v/>
      </c>
      <c r="C288" s="85" t="str">
        <f aca="false">IF(A288="","",INDEX(Candidates!$D$1:$D$500,K288))</f>
        <v/>
      </c>
      <c r="D288" s="85" t="str">
        <f aca="false">IF(A288="","",L288)</f>
        <v/>
      </c>
      <c r="E288" s="85" t="str">
        <f aca="false">IF(A288="","",INDEX($O$2:$O$8,L288))</f>
        <v/>
      </c>
      <c r="F288" s="85" t="str">
        <f aca="false">IF(A288="","",IF(ISNUMBER(INDEX(Candidates!$A$1:$Z$500,K288,INDEX($P$2:$P$8,L288))),INDEX(Candidates!$A$1:$Z$500,K288,INDEX($P$2:$P$8,L288)),""))</f>
        <v/>
      </c>
      <c r="G288" s="85" t="str">
        <f aca="false">IF(A288="","",INDEX($Q$2:$Q$8,L288))</f>
        <v/>
      </c>
      <c r="H288" s="85" t="str">
        <f aca="false">IF(A288="","",IF(F288="","Not yet scored",IF(F288&gt;=G288,"Pass","Fail")))</f>
        <v/>
      </c>
      <c r="I288" s="85" t="str">
        <f aca="false">IF(A288="","",INDEX(Candidates!$B$1:$B$500,K288))</f>
        <v/>
      </c>
      <c r="K288" s="86" t="n">
        <f aca="false">INT((ROW()-2)/7)+2</f>
        <v>42</v>
      </c>
      <c r="L288" s="86" t="n">
        <f aca="false">MOD(ROW()-2,7)+1</f>
        <v>7</v>
      </c>
    </row>
    <row r="289" customFormat="false" ht="15" hidden="false" customHeight="false" outlineLevel="0" collapsed="false">
      <c r="A289" s="85" t="str">
        <f aca="false">IF(INDEX(Candidates!$A$1:$A$500,K289)="","",INDEX(Candidates!$A$1:$A$500,K289))</f>
        <v/>
      </c>
      <c r="B289" s="85" t="str">
        <f aca="false">IF(A289="","",INDEX(Candidates!$C$1:$C$500,K289))</f>
        <v/>
      </c>
      <c r="C289" s="85" t="str">
        <f aca="false">IF(A289="","",INDEX(Candidates!$D$1:$D$500,K289))</f>
        <v/>
      </c>
      <c r="D289" s="85" t="str">
        <f aca="false">IF(A289="","",L289)</f>
        <v/>
      </c>
      <c r="E289" s="85" t="str">
        <f aca="false">IF(A289="","",INDEX($O$2:$O$8,L289))</f>
        <v/>
      </c>
      <c r="F289" s="85" t="str">
        <f aca="false">IF(A289="","",IF(ISNUMBER(INDEX(Candidates!$A$1:$Z$500,K289,INDEX($P$2:$P$8,L289))),INDEX(Candidates!$A$1:$Z$500,K289,INDEX($P$2:$P$8,L289)),""))</f>
        <v/>
      </c>
      <c r="G289" s="85" t="str">
        <f aca="false">IF(A289="","",INDEX($Q$2:$Q$8,L289))</f>
        <v/>
      </c>
      <c r="H289" s="85" t="str">
        <f aca="false">IF(A289="","",IF(F289="","Not yet scored",IF(F289&gt;=G289,"Pass","Fail")))</f>
        <v/>
      </c>
      <c r="I289" s="85" t="str">
        <f aca="false">IF(A289="","",INDEX(Candidates!$B$1:$B$500,K289))</f>
        <v/>
      </c>
      <c r="K289" s="86" t="n">
        <f aca="false">INT((ROW()-2)/7)+2</f>
        <v>43</v>
      </c>
      <c r="L289" s="86" t="n">
        <f aca="false">MOD(ROW()-2,7)+1</f>
        <v>1</v>
      </c>
    </row>
    <row r="290" customFormat="false" ht="15" hidden="false" customHeight="false" outlineLevel="0" collapsed="false">
      <c r="A290" s="85" t="str">
        <f aca="false">IF(INDEX(Candidates!$A$1:$A$500,K290)="","",INDEX(Candidates!$A$1:$A$500,K290))</f>
        <v/>
      </c>
      <c r="B290" s="85" t="str">
        <f aca="false">IF(A290="","",INDEX(Candidates!$C$1:$C$500,K290))</f>
        <v/>
      </c>
      <c r="C290" s="85" t="str">
        <f aca="false">IF(A290="","",INDEX(Candidates!$D$1:$D$500,K290))</f>
        <v/>
      </c>
      <c r="D290" s="85" t="str">
        <f aca="false">IF(A290="","",L290)</f>
        <v/>
      </c>
      <c r="E290" s="85" t="str">
        <f aca="false">IF(A290="","",INDEX($O$2:$O$8,L290))</f>
        <v/>
      </c>
      <c r="F290" s="85" t="str">
        <f aca="false">IF(A290="","",IF(ISNUMBER(INDEX(Candidates!$A$1:$Z$500,K290,INDEX($P$2:$P$8,L290))),INDEX(Candidates!$A$1:$Z$500,K290,INDEX($P$2:$P$8,L290)),""))</f>
        <v/>
      </c>
      <c r="G290" s="85" t="str">
        <f aca="false">IF(A290="","",INDEX($Q$2:$Q$8,L290))</f>
        <v/>
      </c>
      <c r="H290" s="85" t="str">
        <f aca="false">IF(A290="","",IF(F290="","Not yet scored",IF(F290&gt;=G290,"Pass","Fail")))</f>
        <v/>
      </c>
      <c r="I290" s="85" t="str">
        <f aca="false">IF(A290="","",INDEX(Candidates!$B$1:$B$500,K290))</f>
        <v/>
      </c>
      <c r="K290" s="86" t="n">
        <f aca="false">INT((ROW()-2)/7)+2</f>
        <v>43</v>
      </c>
      <c r="L290" s="86" t="n">
        <f aca="false">MOD(ROW()-2,7)+1</f>
        <v>2</v>
      </c>
    </row>
    <row r="291" customFormat="false" ht="15" hidden="false" customHeight="false" outlineLevel="0" collapsed="false">
      <c r="A291" s="85" t="str">
        <f aca="false">IF(INDEX(Candidates!$A$1:$A$500,K291)="","",INDEX(Candidates!$A$1:$A$500,K291))</f>
        <v/>
      </c>
      <c r="B291" s="85" t="str">
        <f aca="false">IF(A291="","",INDEX(Candidates!$C$1:$C$500,K291))</f>
        <v/>
      </c>
      <c r="C291" s="85" t="str">
        <f aca="false">IF(A291="","",INDEX(Candidates!$D$1:$D$500,K291))</f>
        <v/>
      </c>
      <c r="D291" s="85" t="str">
        <f aca="false">IF(A291="","",L291)</f>
        <v/>
      </c>
      <c r="E291" s="85" t="str">
        <f aca="false">IF(A291="","",INDEX($O$2:$O$8,L291))</f>
        <v/>
      </c>
      <c r="F291" s="85" t="str">
        <f aca="false">IF(A291="","",IF(ISNUMBER(INDEX(Candidates!$A$1:$Z$500,K291,INDEX($P$2:$P$8,L291))),INDEX(Candidates!$A$1:$Z$500,K291,INDEX($P$2:$P$8,L291)),""))</f>
        <v/>
      </c>
      <c r="G291" s="85" t="str">
        <f aca="false">IF(A291="","",INDEX($Q$2:$Q$8,L291))</f>
        <v/>
      </c>
      <c r="H291" s="85" t="str">
        <f aca="false">IF(A291="","",IF(F291="","Not yet scored",IF(F291&gt;=G291,"Pass","Fail")))</f>
        <v/>
      </c>
      <c r="I291" s="85" t="str">
        <f aca="false">IF(A291="","",INDEX(Candidates!$B$1:$B$500,K291))</f>
        <v/>
      </c>
      <c r="K291" s="86" t="n">
        <f aca="false">INT((ROW()-2)/7)+2</f>
        <v>43</v>
      </c>
      <c r="L291" s="86" t="n">
        <f aca="false">MOD(ROW()-2,7)+1</f>
        <v>3</v>
      </c>
    </row>
    <row r="292" customFormat="false" ht="15" hidden="false" customHeight="false" outlineLevel="0" collapsed="false">
      <c r="A292" s="85" t="str">
        <f aca="false">IF(INDEX(Candidates!$A$1:$A$500,K292)="","",INDEX(Candidates!$A$1:$A$500,K292))</f>
        <v/>
      </c>
      <c r="B292" s="85" t="str">
        <f aca="false">IF(A292="","",INDEX(Candidates!$C$1:$C$500,K292))</f>
        <v/>
      </c>
      <c r="C292" s="85" t="str">
        <f aca="false">IF(A292="","",INDEX(Candidates!$D$1:$D$500,K292))</f>
        <v/>
      </c>
      <c r="D292" s="85" t="str">
        <f aca="false">IF(A292="","",L292)</f>
        <v/>
      </c>
      <c r="E292" s="85" t="str">
        <f aca="false">IF(A292="","",INDEX($O$2:$O$8,L292))</f>
        <v/>
      </c>
      <c r="F292" s="85" t="str">
        <f aca="false">IF(A292="","",IF(ISNUMBER(INDEX(Candidates!$A$1:$Z$500,K292,INDEX($P$2:$P$8,L292))),INDEX(Candidates!$A$1:$Z$500,K292,INDEX($P$2:$P$8,L292)),""))</f>
        <v/>
      </c>
      <c r="G292" s="85" t="str">
        <f aca="false">IF(A292="","",INDEX($Q$2:$Q$8,L292))</f>
        <v/>
      </c>
      <c r="H292" s="85" t="str">
        <f aca="false">IF(A292="","",IF(F292="","Not yet scored",IF(F292&gt;=G292,"Pass","Fail")))</f>
        <v/>
      </c>
      <c r="I292" s="85" t="str">
        <f aca="false">IF(A292="","",INDEX(Candidates!$B$1:$B$500,K292))</f>
        <v/>
      </c>
      <c r="K292" s="86" t="n">
        <f aca="false">INT((ROW()-2)/7)+2</f>
        <v>43</v>
      </c>
      <c r="L292" s="86" t="n">
        <f aca="false">MOD(ROW()-2,7)+1</f>
        <v>4</v>
      </c>
    </row>
    <row r="293" customFormat="false" ht="15" hidden="false" customHeight="false" outlineLevel="0" collapsed="false">
      <c r="A293" s="85" t="str">
        <f aca="false">IF(INDEX(Candidates!$A$1:$A$500,K293)="","",INDEX(Candidates!$A$1:$A$500,K293))</f>
        <v/>
      </c>
      <c r="B293" s="85" t="str">
        <f aca="false">IF(A293="","",INDEX(Candidates!$C$1:$C$500,K293))</f>
        <v/>
      </c>
      <c r="C293" s="85" t="str">
        <f aca="false">IF(A293="","",INDEX(Candidates!$D$1:$D$500,K293))</f>
        <v/>
      </c>
      <c r="D293" s="85" t="str">
        <f aca="false">IF(A293="","",L293)</f>
        <v/>
      </c>
      <c r="E293" s="85" t="str">
        <f aca="false">IF(A293="","",INDEX($O$2:$O$8,L293))</f>
        <v/>
      </c>
      <c r="F293" s="85" t="str">
        <f aca="false">IF(A293="","",IF(ISNUMBER(INDEX(Candidates!$A$1:$Z$500,K293,INDEX($P$2:$P$8,L293))),INDEX(Candidates!$A$1:$Z$500,K293,INDEX($P$2:$P$8,L293)),""))</f>
        <v/>
      </c>
      <c r="G293" s="85" t="str">
        <f aca="false">IF(A293="","",INDEX($Q$2:$Q$8,L293))</f>
        <v/>
      </c>
      <c r="H293" s="85" t="str">
        <f aca="false">IF(A293="","",IF(F293="","Not yet scored",IF(F293&gt;=G293,"Pass","Fail")))</f>
        <v/>
      </c>
      <c r="I293" s="85" t="str">
        <f aca="false">IF(A293="","",INDEX(Candidates!$B$1:$B$500,K293))</f>
        <v/>
      </c>
      <c r="K293" s="86" t="n">
        <f aca="false">INT((ROW()-2)/7)+2</f>
        <v>43</v>
      </c>
      <c r="L293" s="86" t="n">
        <f aca="false">MOD(ROW()-2,7)+1</f>
        <v>5</v>
      </c>
    </row>
    <row r="294" customFormat="false" ht="15" hidden="false" customHeight="false" outlineLevel="0" collapsed="false">
      <c r="A294" s="85" t="str">
        <f aca="false">IF(INDEX(Candidates!$A$1:$A$500,K294)="","",INDEX(Candidates!$A$1:$A$500,K294))</f>
        <v/>
      </c>
      <c r="B294" s="85" t="str">
        <f aca="false">IF(A294="","",INDEX(Candidates!$C$1:$C$500,K294))</f>
        <v/>
      </c>
      <c r="C294" s="85" t="str">
        <f aca="false">IF(A294="","",INDEX(Candidates!$D$1:$D$500,K294))</f>
        <v/>
      </c>
      <c r="D294" s="85" t="str">
        <f aca="false">IF(A294="","",L294)</f>
        <v/>
      </c>
      <c r="E294" s="85" t="str">
        <f aca="false">IF(A294="","",INDEX($O$2:$O$8,L294))</f>
        <v/>
      </c>
      <c r="F294" s="85" t="str">
        <f aca="false">IF(A294="","",IF(ISNUMBER(INDEX(Candidates!$A$1:$Z$500,K294,INDEX($P$2:$P$8,L294))),INDEX(Candidates!$A$1:$Z$500,K294,INDEX($P$2:$P$8,L294)),""))</f>
        <v/>
      </c>
      <c r="G294" s="85" t="str">
        <f aca="false">IF(A294="","",INDEX($Q$2:$Q$8,L294))</f>
        <v/>
      </c>
      <c r="H294" s="85" t="str">
        <f aca="false">IF(A294="","",IF(F294="","Not yet scored",IF(F294&gt;=G294,"Pass","Fail")))</f>
        <v/>
      </c>
      <c r="I294" s="85" t="str">
        <f aca="false">IF(A294="","",INDEX(Candidates!$B$1:$B$500,K294))</f>
        <v/>
      </c>
      <c r="K294" s="86" t="n">
        <f aca="false">INT((ROW()-2)/7)+2</f>
        <v>43</v>
      </c>
      <c r="L294" s="86" t="n">
        <f aca="false">MOD(ROW()-2,7)+1</f>
        <v>6</v>
      </c>
    </row>
    <row r="295" customFormat="false" ht="15" hidden="false" customHeight="false" outlineLevel="0" collapsed="false">
      <c r="A295" s="85" t="str">
        <f aca="false">IF(INDEX(Candidates!$A$1:$A$500,K295)="","",INDEX(Candidates!$A$1:$A$500,K295))</f>
        <v/>
      </c>
      <c r="B295" s="85" t="str">
        <f aca="false">IF(A295="","",INDEX(Candidates!$C$1:$C$500,K295))</f>
        <v/>
      </c>
      <c r="C295" s="85" t="str">
        <f aca="false">IF(A295="","",INDEX(Candidates!$D$1:$D$500,K295))</f>
        <v/>
      </c>
      <c r="D295" s="85" t="str">
        <f aca="false">IF(A295="","",L295)</f>
        <v/>
      </c>
      <c r="E295" s="85" t="str">
        <f aca="false">IF(A295="","",INDEX($O$2:$O$8,L295))</f>
        <v/>
      </c>
      <c r="F295" s="85" t="str">
        <f aca="false">IF(A295="","",IF(ISNUMBER(INDEX(Candidates!$A$1:$Z$500,K295,INDEX($P$2:$P$8,L295))),INDEX(Candidates!$A$1:$Z$500,K295,INDEX($P$2:$P$8,L295)),""))</f>
        <v/>
      </c>
      <c r="G295" s="85" t="str">
        <f aca="false">IF(A295="","",INDEX($Q$2:$Q$8,L295))</f>
        <v/>
      </c>
      <c r="H295" s="85" t="str">
        <f aca="false">IF(A295="","",IF(F295="","Not yet scored",IF(F295&gt;=G295,"Pass","Fail")))</f>
        <v/>
      </c>
      <c r="I295" s="85" t="str">
        <f aca="false">IF(A295="","",INDEX(Candidates!$B$1:$B$500,K295))</f>
        <v/>
      </c>
      <c r="K295" s="86" t="n">
        <f aca="false">INT((ROW()-2)/7)+2</f>
        <v>43</v>
      </c>
      <c r="L295" s="86" t="n">
        <f aca="false">MOD(ROW()-2,7)+1</f>
        <v>7</v>
      </c>
    </row>
    <row r="296" customFormat="false" ht="15" hidden="false" customHeight="false" outlineLevel="0" collapsed="false">
      <c r="A296" s="85" t="str">
        <f aca="false">IF(INDEX(Candidates!$A$1:$A$500,K296)="","",INDEX(Candidates!$A$1:$A$500,K296))</f>
        <v/>
      </c>
      <c r="B296" s="85" t="str">
        <f aca="false">IF(A296="","",INDEX(Candidates!$C$1:$C$500,K296))</f>
        <v/>
      </c>
      <c r="C296" s="85" t="str">
        <f aca="false">IF(A296="","",INDEX(Candidates!$D$1:$D$500,K296))</f>
        <v/>
      </c>
      <c r="D296" s="85" t="str">
        <f aca="false">IF(A296="","",L296)</f>
        <v/>
      </c>
      <c r="E296" s="85" t="str">
        <f aca="false">IF(A296="","",INDEX($O$2:$O$8,L296))</f>
        <v/>
      </c>
      <c r="F296" s="85" t="str">
        <f aca="false">IF(A296="","",IF(ISNUMBER(INDEX(Candidates!$A$1:$Z$500,K296,INDEX($P$2:$P$8,L296))),INDEX(Candidates!$A$1:$Z$500,K296,INDEX($P$2:$P$8,L296)),""))</f>
        <v/>
      </c>
      <c r="G296" s="85" t="str">
        <f aca="false">IF(A296="","",INDEX($Q$2:$Q$8,L296))</f>
        <v/>
      </c>
      <c r="H296" s="85" t="str">
        <f aca="false">IF(A296="","",IF(F296="","Not yet scored",IF(F296&gt;=G296,"Pass","Fail")))</f>
        <v/>
      </c>
      <c r="I296" s="85" t="str">
        <f aca="false">IF(A296="","",INDEX(Candidates!$B$1:$B$500,K296))</f>
        <v/>
      </c>
      <c r="K296" s="86" t="n">
        <f aca="false">INT((ROW()-2)/7)+2</f>
        <v>44</v>
      </c>
      <c r="L296" s="86" t="n">
        <f aca="false">MOD(ROW()-2,7)+1</f>
        <v>1</v>
      </c>
    </row>
    <row r="297" customFormat="false" ht="15" hidden="false" customHeight="false" outlineLevel="0" collapsed="false">
      <c r="A297" s="85" t="str">
        <f aca="false">IF(INDEX(Candidates!$A$1:$A$500,K297)="","",INDEX(Candidates!$A$1:$A$500,K297))</f>
        <v/>
      </c>
      <c r="B297" s="85" t="str">
        <f aca="false">IF(A297="","",INDEX(Candidates!$C$1:$C$500,K297))</f>
        <v/>
      </c>
      <c r="C297" s="85" t="str">
        <f aca="false">IF(A297="","",INDEX(Candidates!$D$1:$D$500,K297))</f>
        <v/>
      </c>
      <c r="D297" s="85" t="str">
        <f aca="false">IF(A297="","",L297)</f>
        <v/>
      </c>
      <c r="E297" s="85" t="str">
        <f aca="false">IF(A297="","",INDEX($O$2:$O$8,L297))</f>
        <v/>
      </c>
      <c r="F297" s="85" t="str">
        <f aca="false">IF(A297="","",IF(ISNUMBER(INDEX(Candidates!$A$1:$Z$500,K297,INDEX($P$2:$P$8,L297))),INDEX(Candidates!$A$1:$Z$500,K297,INDEX($P$2:$P$8,L297)),""))</f>
        <v/>
      </c>
      <c r="G297" s="85" t="str">
        <f aca="false">IF(A297="","",INDEX($Q$2:$Q$8,L297))</f>
        <v/>
      </c>
      <c r="H297" s="85" t="str">
        <f aca="false">IF(A297="","",IF(F297="","Not yet scored",IF(F297&gt;=G297,"Pass","Fail")))</f>
        <v/>
      </c>
      <c r="I297" s="85" t="str">
        <f aca="false">IF(A297="","",INDEX(Candidates!$B$1:$B$500,K297))</f>
        <v/>
      </c>
      <c r="K297" s="86" t="n">
        <f aca="false">INT((ROW()-2)/7)+2</f>
        <v>44</v>
      </c>
      <c r="L297" s="86" t="n">
        <f aca="false">MOD(ROW()-2,7)+1</f>
        <v>2</v>
      </c>
    </row>
    <row r="298" customFormat="false" ht="15" hidden="false" customHeight="false" outlineLevel="0" collapsed="false">
      <c r="A298" s="85" t="str">
        <f aca="false">IF(INDEX(Candidates!$A$1:$A$500,K298)="","",INDEX(Candidates!$A$1:$A$500,K298))</f>
        <v/>
      </c>
      <c r="B298" s="85" t="str">
        <f aca="false">IF(A298="","",INDEX(Candidates!$C$1:$C$500,K298))</f>
        <v/>
      </c>
      <c r="C298" s="85" t="str">
        <f aca="false">IF(A298="","",INDEX(Candidates!$D$1:$D$500,K298))</f>
        <v/>
      </c>
      <c r="D298" s="85" t="str">
        <f aca="false">IF(A298="","",L298)</f>
        <v/>
      </c>
      <c r="E298" s="85" t="str">
        <f aca="false">IF(A298="","",INDEX($O$2:$O$8,L298))</f>
        <v/>
      </c>
      <c r="F298" s="85" t="str">
        <f aca="false">IF(A298="","",IF(ISNUMBER(INDEX(Candidates!$A$1:$Z$500,K298,INDEX($P$2:$P$8,L298))),INDEX(Candidates!$A$1:$Z$500,K298,INDEX($P$2:$P$8,L298)),""))</f>
        <v/>
      </c>
      <c r="G298" s="85" t="str">
        <f aca="false">IF(A298="","",INDEX($Q$2:$Q$8,L298))</f>
        <v/>
      </c>
      <c r="H298" s="85" t="str">
        <f aca="false">IF(A298="","",IF(F298="","Not yet scored",IF(F298&gt;=G298,"Pass","Fail")))</f>
        <v/>
      </c>
      <c r="I298" s="85" t="str">
        <f aca="false">IF(A298="","",INDEX(Candidates!$B$1:$B$500,K298))</f>
        <v/>
      </c>
      <c r="K298" s="86" t="n">
        <f aca="false">INT((ROW()-2)/7)+2</f>
        <v>44</v>
      </c>
      <c r="L298" s="86" t="n">
        <f aca="false">MOD(ROW()-2,7)+1</f>
        <v>3</v>
      </c>
    </row>
    <row r="299" customFormat="false" ht="15" hidden="false" customHeight="false" outlineLevel="0" collapsed="false">
      <c r="A299" s="85" t="str">
        <f aca="false">IF(INDEX(Candidates!$A$1:$A$500,K299)="","",INDEX(Candidates!$A$1:$A$500,K299))</f>
        <v/>
      </c>
      <c r="B299" s="85" t="str">
        <f aca="false">IF(A299="","",INDEX(Candidates!$C$1:$C$500,K299))</f>
        <v/>
      </c>
      <c r="C299" s="85" t="str">
        <f aca="false">IF(A299="","",INDEX(Candidates!$D$1:$D$500,K299))</f>
        <v/>
      </c>
      <c r="D299" s="85" t="str">
        <f aca="false">IF(A299="","",L299)</f>
        <v/>
      </c>
      <c r="E299" s="85" t="str">
        <f aca="false">IF(A299="","",INDEX($O$2:$O$8,L299))</f>
        <v/>
      </c>
      <c r="F299" s="85" t="str">
        <f aca="false">IF(A299="","",IF(ISNUMBER(INDEX(Candidates!$A$1:$Z$500,K299,INDEX($P$2:$P$8,L299))),INDEX(Candidates!$A$1:$Z$500,K299,INDEX($P$2:$P$8,L299)),""))</f>
        <v/>
      </c>
      <c r="G299" s="85" t="str">
        <f aca="false">IF(A299="","",INDEX($Q$2:$Q$8,L299))</f>
        <v/>
      </c>
      <c r="H299" s="85" t="str">
        <f aca="false">IF(A299="","",IF(F299="","Not yet scored",IF(F299&gt;=G299,"Pass","Fail")))</f>
        <v/>
      </c>
      <c r="I299" s="85" t="str">
        <f aca="false">IF(A299="","",INDEX(Candidates!$B$1:$B$500,K299))</f>
        <v/>
      </c>
      <c r="K299" s="86" t="n">
        <f aca="false">INT((ROW()-2)/7)+2</f>
        <v>44</v>
      </c>
      <c r="L299" s="86" t="n">
        <f aca="false">MOD(ROW()-2,7)+1</f>
        <v>4</v>
      </c>
    </row>
    <row r="300" customFormat="false" ht="15" hidden="false" customHeight="false" outlineLevel="0" collapsed="false">
      <c r="A300" s="85" t="str">
        <f aca="false">IF(INDEX(Candidates!$A$1:$A$500,K300)="","",INDEX(Candidates!$A$1:$A$500,K300))</f>
        <v/>
      </c>
      <c r="B300" s="85" t="str">
        <f aca="false">IF(A300="","",INDEX(Candidates!$C$1:$C$500,K300))</f>
        <v/>
      </c>
      <c r="C300" s="85" t="str">
        <f aca="false">IF(A300="","",INDEX(Candidates!$D$1:$D$500,K300))</f>
        <v/>
      </c>
      <c r="D300" s="85" t="str">
        <f aca="false">IF(A300="","",L300)</f>
        <v/>
      </c>
      <c r="E300" s="85" t="str">
        <f aca="false">IF(A300="","",INDEX($O$2:$O$8,L300))</f>
        <v/>
      </c>
      <c r="F300" s="85" t="str">
        <f aca="false">IF(A300="","",IF(ISNUMBER(INDEX(Candidates!$A$1:$Z$500,K300,INDEX($P$2:$P$8,L300))),INDEX(Candidates!$A$1:$Z$500,K300,INDEX($P$2:$P$8,L300)),""))</f>
        <v/>
      </c>
      <c r="G300" s="85" t="str">
        <f aca="false">IF(A300="","",INDEX($Q$2:$Q$8,L300))</f>
        <v/>
      </c>
      <c r="H300" s="85" t="str">
        <f aca="false">IF(A300="","",IF(F300="","Not yet scored",IF(F300&gt;=G300,"Pass","Fail")))</f>
        <v/>
      </c>
      <c r="I300" s="85" t="str">
        <f aca="false">IF(A300="","",INDEX(Candidates!$B$1:$B$500,K300))</f>
        <v/>
      </c>
      <c r="K300" s="86" t="n">
        <f aca="false">INT((ROW()-2)/7)+2</f>
        <v>44</v>
      </c>
      <c r="L300" s="86" t="n">
        <f aca="false">MOD(ROW()-2,7)+1</f>
        <v>5</v>
      </c>
    </row>
    <row r="301" customFormat="false" ht="15" hidden="false" customHeight="false" outlineLevel="0" collapsed="false">
      <c r="A301" s="85" t="str">
        <f aca="false">IF(INDEX(Candidates!$A$1:$A$500,K301)="","",INDEX(Candidates!$A$1:$A$500,K301))</f>
        <v/>
      </c>
      <c r="B301" s="85" t="str">
        <f aca="false">IF(A301="","",INDEX(Candidates!$C$1:$C$500,K301))</f>
        <v/>
      </c>
      <c r="C301" s="85" t="str">
        <f aca="false">IF(A301="","",INDEX(Candidates!$D$1:$D$500,K301))</f>
        <v/>
      </c>
      <c r="D301" s="85" t="str">
        <f aca="false">IF(A301="","",L301)</f>
        <v/>
      </c>
      <c r="E301" s="85" t="str">
        <f aca="false">IF(A301="","",INDEX($O$2:$O$8,L301))</f>
        <v/>
      </c>
      <c r="F301" s="85" t="str">
        <f aca="false">IF(A301="","",IF(ISNUMBER(INDEX(Candidates!$A$1:$Z$500,K301,INDEX($P$2:$P$8,L301))),INDEX(Candidates!$A$1:$Z$500,K301,INDEX($P$2:$P$8,L301)),""))</f>
        <v/>
      </c>
      <c r="G301" s="85" t="str">
        <f aca="false">IF(A301="","",INDEX($Q$2:$Q$8,L301))</f>
        <v/>
      </c>
      <c r="H301" s="85" t="str">
        <f aca="false">IF(A301="","",IF(F301="","Not yet scored",IF(F301&gt;=G301,"Pass","Fail")))</f>
        <v/>
      </c>
      <c r="I301" s="85" t="str">
        <f aca="false">IF(A301="","",INDEX(Candidates!$B$1:$B$500,K301))</f>
        <v/>
      </c>
      <c r="K301" s="86" t="n">
        <f aca="false">INT((ROW()-2)/7)+2</f>
        <v>44</v>
      </c>
      <c r="L301" s="86" t="n">
        <f aca="false">MOD(ROW()-2,7)+1</f>
        <v>6</v>
      </c>
    </row>
    <row r="302" customFormat="false" ht="15" hidden="false" customHeight="false" outlineLevel="0" collapsed="false">
      <c r="A302" s="85" t="str">
        <f aca="false">IF(INDEX(Candidates!$A$1:$A$500,K302)="","",INDEX(Candidates!$A$1:$A$500,K302))</f>
        <v/>
      </c>
      <c r="B302" s="85" t="str">
        <f aca="false">IF(A302="","",INDEX(Candidates!$C$1:$C$500,K302))</f>
        <v/>
      </c>
      <c r="C302" s="85" t="str">
        <f aca="false">IF(A302="","",INDEX(Candidates!$D$1:$D$500,K302))</f>
        <v/>
      </c>
      <c r="D302" s="85" t="str">
        <f aca="false">IF(A302="","",L302)</f>
        <v/>
      </c>
      <c r="E302" s="85" t="str">
        <f aca="false">IF(A302="","",INDEX($O$2:$O$8,L302))</f>
        <v/>
      </c>
      <c r="F302" s="85" t="str">
        <f aca="false">IF(A302="","",IF(ISNUMBER(INDEX(Candidates!$A$1:$Z$500,K302,INDEX($P$2:$P$8,L302))),INDEX(Candidates!$A$1:$Z$500,K302,INDEX($P$2:$P$8,L302)),""))</f>
        <v/>
      </c>
      <c r="G302" s="85" t="str">
        <f aca="false">IF(A302="","",INDEX($Q$2:$Q$8,L302))</f>
        <v/>
      </c>
      <c r="H302" s="85" t="str">
        <f aca="false">IF(A302="","",IF(F302="","Not yet scored",IF(F302&gt;=G302,"Pass","Fail")))</f>
        <v/>
      </c>
      <c r="I302" s="85" t="str">
        <f aca="false">IF(A302="","",INDEX(Candidates!$B$1:$B$500,K302))</f>
        <v/>
      </c>
      <c r="K302" s="86" t="n">
        <f aca="false">INT((ROW()-2)/7)+2</f>
        <v>44</v>
      </c>
      <c r="L302" s="86" t="n">
        <f aca="false">MOD(ROW()-2,7)+1</f>
        <v>7</v>
      </c>
    </row>
    <row r="303" customFormat="false" ht="15" hidden="false" customHeight="false" outlineLevel="0" collapsed="false">
      <c r="A303" s="85" t="str">
        <f aca="false">IF(INDEX(Candidates!$A$1:$A$500,K303)="","",INDEX(Candidates!$A$1:$A$500,K303))</f>
        <v/>
      </c>
      <c r="B303" s="85" t="str">
        <f aca="false">IF(A303="","",INDEX(Candidates!$C$1:$C$500,K303))</f>
        <v/>
      </c>
      <c r="C303" s="85" t="str">
        <f aca="false">IF(A303="","",INDEX(Candidates!$D$1:$D$500,K303))</f>
        <v/>
      </c>
      <c r="D303" s="85" t="str">
        <f aca="false">IF(A303="","",L303)</f>
        <v/>
      </c>
      <c r="E303" s="85" t="str">
        <f aca="false">IF(A303="","",INDEX($O$2:$O$8,L303))</f>
        <v/>
      </c>
      <c r="F303" s="85" t="str">
        <f aca="false">IF(A303="","",IF(ISNUMBER(INDEX(Candidates!$A$1:$Z$500,K303,INDEX($P$2:$P$8,L303))),INDEX(Candidates!$A$1:$Z$500,K303,INDEX($P$2:$P$8,L303)),""))</f>
        <v/>
      </c>
      <c r="G303" s="85" t="str">
        <f aca="false">IF(A303="","",INDEX($Q$2:$Q$8,L303))</f>
        <v/>
      </c>
      <c r="H303" s="85" t="str">
        <f aca="false">IF(A303="","",IF(F303="","Not yet scored",IF(F303&gt;=G303,"Pass","Fail")))</f>
        <v/>
      </c>
      <c r="I303" s="85" t="str">
        <f aca="false">IF(A303="","",INDEX(Candidates!$B$1:$B$500,K303))</f>
        <v/>
      </c>
      <c r="K303" s="86" t="n">
        <f aca="false">INT((ROW()-2)/7)+2</f>
        <v>45</v>
      </c>
      <c r="L303" s="86" t="n">
        <f aca="false">MOD(ROW()-2,7)+1</f>
        <v>1</v>
      </c>
    </row>
    <row r="304" customFormat="false" ht="15" hidden="false" customHeight="false" outlineLevel="0" collapsed="false">
      <c r="A304" s="85" t="str">
        <f aca="false">IF(INDEX(Candidates!$A$1:$A$500,K304)="","",INDEX(Candidates!$A$1:$A$500,K304))</f>
        <v/>
      </c>
      <c r="B304" s="85" t="str">
        <f aca="false">IF(A304="","",INDEX(Candidates!$C$1:$C$500,K304))</f>
        <v/>
      </c>
      <c r="C304" s="85" t="str">
        <f aca="false">IF(A304="","",INDEX(Candidates!$D$1:$D$500,K304))</f>
        <v/>
      </c>
      <c r="D304" s="85" t="str">
        <f aca="false">IF(A304="","",L304)</f>
        <v/>
      </c>
      <c r="E304" s="85" t="str">
        <f aca="false">IF(A304="","",INDEX($O$2:$O$8,L304))</f>
        <v/>
      </c>
      <c r="F304" s="85" t="str">
        <f aca="false">IF(A304="","",IF(ISNUMBER(INDEX(Candidates!$A$1:$Z$500,K304,INDEX($P$2:$P$8,L304))),INDEX(Candidates!$A$1:$Z$500,K304,INDEX($P$2:$P$8,L304)),""))</f>
        <v/>
      </c>
      <c r="G304" s="85" t="str">
        <f aca="false">IF(A304="","",INDEX($Q$2:$Q$8,L304))</f>
        <v/>
      </c>
      <c r="H304" s="85" t="str">
        <f aca="false">IF(A304="","",IF(F304="","Not yet scored",IF(F304&gt;=G304,"Pass","Fail")))</f>
        <v/>
      </c>
      <c r="I304" s="85" t="str">
        <f aca="false">IF(A304="","",INDEX(Candidates!$B$1:$B$500,K304))</f>
        <v/>
      </c>
      <c r="K304" s="86" t="n">
        <f aca="false">INT((ROW()-2)/7)+2</f>
        <v>45</v>
      </c>
      <c r="L304" s="86" t="n">
        <f aca="false">MOD(ROW()-2,7)+1</f>
        <v>2</v>
      </c>
    </row>
    <row r="305" customFormat="false" ht="15" hidden="false" customHeight="false" outlineLevel="0" collapsed="false">
      <c r="A305" s="85" t="str">
        <f aca="false">IF(INDEX(Candidates!$A$1:$A$500,K305)="","",INDEX(Candidates!$A$1:$A$500,K305))</f>
        <v/>
      </c>
      <c r="B305" s="85" t="str">
        <f aca="false">IF(A305="","",INDEX(Candidates!$C$1:$C$500,K305))</f>
        <v/>
      </c>
      <c r="C305" s="85" t="str">
        <f aca="false">IF(A305="","",INDEX(Candidates!$D$1:$D$500,K305))</f>
        <v/>
      </c>
      <c r="D305" s="85" t="str">
        <f aca="false">IF(A305="","",L305)</f>
        <v/>
      </c>
      <c r="E305" s="85" t="str">
        <f aca="false">IF(A305="","",INDEX($O$2:$O$8,L305))</f>
        <v/>
      </c>
      <c r="F305" s="85" t="str">
        <f aca="false">IF(A305="","",IF(ISNUMBER(INDEX(Candidates!$A$1:$Z$500,K305,INDEX($P$2:$P$8,L305))),INDEX(Candidates!$A$1:$Z$500,K305,INDEX($P$2:$P$8,L305)),""))</f>
        <v/>
      </c>
      <c r="G305" s="85" t="str">
        <f aca="false">IF(A305="","",INDEX($Q$2:$Q$8,L305))</f>
        <v/>
      </c>
      <c r="H305" s="85" t="str">
        <f aca="false">IF(A305="","",IF(F305="","Not yet scored",IF(F305&gt;=G305,"Pass","Fail")))</f>
        <v/>
      </c>
      <c r="I305" s="85" t="str">
        <f aca="false">IF(A305="","",INDEX(Candidates!$B$1:$B$500,K305))</f>
        <v/>
      </c>
      <c r="K305" s="86" t="n">
        <f aca="false">INT((ROW()-2)/7)+2</f>
        <v>45</v>
      </c>
      <c r="L305" s="86" t="n">
        <f aca="false">MOD(ROW()-2,7)+1</f>
        <v>3</v>
      </c>
    </row>
    <row r="306" customFormat="false" ht="15" hidden="false" customHeight="false" outlineLevel="0" collapsed="false">
      <c r="A306" s="85" t="str">
        <f aca="false">IF(INDEX(Candidates!$A$1:$A$500,K306)="","",INDEX(Candidates!$A$1:$A$500,K306))</f>
        <v/>
      </c>
      <c r="B306" s="85" t="str">
        <f aca="false">IF(A306="","",INDEX(Candidates!$C$1:$C$500,K306))</f>
        <v/>
      </c>
      <c r="C306" s="85" t="str">
        <f aca="false">IF(A306="","",INDEX(Candidates!$D$1:$D$500,K306))</f>
        <v/>
      </c>
      <c r="D306" s="85" t="str">
        <f aca="false">IF(A306="","",L306)</f>
        <v/>
      </c>
      <c r="E306" s="85" t="str">
        <f aca="false">IF(A306="","",INDEX($O$2:$O$8,L306))</f>
        <v/>
      </c>
      <c r="F306" s="85" t="str">
        <f aca="false">IF(A306="","",IF(ISNUMBER(INDEX(Candidates!$A$1:$Z$500,K306,INDEX($P$2:$P$8,L306))),INDEX(Candidates!$A$1:$Z$500,K306,INDEX($P$2:$P$8,L306)),""))</f>
        <v/>
      </c>
      <c r="G306" s="85" t="str">
        <f aca="false">IF(A306="","",INDEX($Q$2:$Q$8,L306))</f>
        <v/>
      </c>
      <c r="H306" s="85" t="str">
        <f aca="false">IF(A306="","",IF(F306="","Not yet scored",IF(F306&gt;=G306,"Pass","Fail")))</f>
        <v/>
      </c>
      <c r="I306" s="85" t="str">
        <f aca="false">IF(A306="","",INDEX(Candidates!$B$1:$B$500,K306))</f>
        <v/>
      </c>
      <c r="K306" s="86" t="n">
        <f aca="false">INT((ROW()-2)/7)+2</f>
        <v>45</v>
      </c>
      <c r="L306" s="86" t="n">
        <f aca="false">MOD(ROW()-2,7)+1</f>
        <v>4</v>
      </c>
    </row>
    <row r="307" customFormat="false" ht="15" hidden="false" customHeight="false" outlineLevel="0" collapsed="false">
      <c r="A307" s="85" t="str">
        <f aca="false">IF(INDEX(Candidates!$A$1:$A$500,K307)="","",INDEX(Candidates!$A$1:$A$500,K307))</f>
        <v/>
      </c>
      <c r="B307" s="85" t="str">
        <f aca="false">IF(A307="","",INDEX(Candidates!$C$1:$C$500,K307))</f>
        <v/>
      </c>
      <c r="C307" s="85" t="str">
        <f aca="false">IF(A307="","",INDEX(Candidates!$D$1:$D$500,K307))</f>
        <v/>
      </c>
      <c r="D307" s="85" t="str">
        <f aca="false">IF(A307="","",L307)</f>
        <v/>
      </c>
      <c r="E307" s="85" t="str">
        <f aca="false">IF(A307="","",INDEX($O$2:$O$8,L307))</f>
        <v/>
      </c>
      <c r="F307" s="85" t="str">
        <f aca="false">IF(A307="","",IF(ISNUMBER(INDEX(Candidates!$A$1:$Z$500,K307,INDEX($P$2:$P$8,L307))),INDEX(Candidates!$A$1:$Z$500,K307,INDEX($P$2:$P$8,L307)),""))</f>
        <v/>
      </c>
      <c r="G307" s="85" t="str">
        <f aca="false">IF(A307="","",INDEX($Q$2:$Q$8,L307))</f>
        <v/>
      </c>
      <c r="H307" s="85" t="str">
        <f aca="false">IF(A307="","",IF(F307="","Not yet scored",IF(F307&gt;=G307,"Pass","Fail")))</f>
        <v/>
      </c>
      <c r="I307" s="85" t="str">
        <f aca="false">IF(A307="","",INDEX(Candidates!$B$1:$B$500,K307))</f>
        <v/>
      </c>
      <c r="K307" s="86" t="n">
        <f aca="false">INT((ROW()-2)/7)+2</f>
        <v>45</v>
      </c>
      <c r="L307" s="86" t="n">
        <f aca="false">MOD(ROW()-2,7)+1</f>
        <v>5</v>
      </c>
    </row>
    <row r="308" customFormat="false" ht="15" hidden="false" customHeight="false" outlineLevel="0" collapsed="false">
      <c r="A308" s="85" t="str">
        <f aca="false">IF(INDEX(Candidates!$A$1:$A$500,K308)="","",INDEX(Candidates!$A$1:$A$500,K308))</f>
        <v/>
      </c>
      <c r="B308" s="85" t="str">
        <f aca="false">IF(A308="","",INDEX(Candidates!$C$1:$C$500,K308))</f>
        <v/>
      </c>
      <c r="C308" s="85" t="str">
        <f aca="false">IF(A308="","",INDEX(Candidates!$D$1:$D$500,K308))</f>
        <v/>
      </c>
      <c r="D308" s="85" t="str">
        <f aca="false">IF(A308="","",L308)</f>
        <v/>
      </c>
      <c r="E308" s="85" t="str">
        <f aca="false">IF(A308="","",INDEX($O$2:$O$8,L308))</f>
        <v/>
      </c>
      <c r="F308" s="85" t="str">
        <f aca="false">IF(A308="","",IF(ISNUMBER(INDEX(Candidates!$A$1:$Z$500,K308,INDEX($P$2:$P$8,L308))),INDEX(Candidates!$A$1:$Z$500,K308,INDEX($P$2:$P$8,L308)),""))</f>
        <v/>
      </c>
      <c r="G308" s="85" t="str">
        <f aca="false">IF(A308="","",INDEX($Q$2:$Q$8,L308))</f>
        <v/>
      </c>
      <c r="H308" s="85" t="str">
        <f aca="false">IF(A308="","",IF(F308="","Not yet scored",IF(F308&gt;=G308,"Pass","Fail")))</f>
        <v/>
      </c>
      <c r="I308" s="85" t="str">
        <f aca="false">IF(A308="","",INDEX(Candidates!$B$1:$B$500,K308))</f>
        <v/>
      </c>
      <c r="K308" s="86" t="n">
        <f aca="false">INT((ROW()-2)/7)+2</f>
        <v>45</v>
      </c>
      <c r="L308" s="86" t="n">
        <f aca="false">MOD(ROW()-2,7)+1</f>
        <v>6</v>
      </c>
    </row>
    <row r="309" customFormat="false" ht="15" hidden="false" customHeight="false" outlineLevel="0" collapsed="false">
      <c r="A309" s="85" t="str">
        <f aca="false">IF(INDEX(Candidates!$A$1:$A$500,K309)="","",INDEX(Candidates!$A$1:$A$500,K309))</f>
        <v/>
      </c>
      <c r="B309" s="85" t="str">
        <f aca="false">IF(A309="","",INDEX(Candidates!$C$1:$C$500,K309))</f>
        <v/>
      </c>
      <c r="C309" s="85" t="str">
        <f aca="false">IF(A309="","",INDEX(Candidates!$D$1:$D$500,K309))</f>
        <v/>
      </c>
      <c r="D309" s="85" t="str">
        <f aca="false">IF(A309="","",L309)</f>
        <v/>
      </c>
      <c r="E309" s="85" t="str">
        <f aca="false">IF(A309="","",INDEX($O$2:$O$8,L309))</f>
        <v/>
      </c>
      <c r="F309" s="85" t="str">
        <f aca="false">IF(A309="","",IF(ISNUMBER(INDEX(Candidates!$A$1:$Z$500,K309,INDEX($P$2:$P$8,L309))),INDEX(Candidates!$A$1:$Z$500,K309,INDEX($P$2:$P$8,L309)),""))</f>
        <v/>
      </c>
      <c r="G309" s="85" t="str">
        <f aca="false">IF(A309="","",INDEX($Q$2:$Q$8,L309))</f>
        <v/>
      </c>
      <c r="H309" s="85" t="str">
        <f aca="false">IF(A309="","",IF(F309="","Not yet scored",IF(F309&gt;=G309,"Pass","Fail")))</f>
        <v/>
      </c>
      <c r="I309" s="85" t="str">
        <f aca="false">IF(A309="","",INDEX(Candidates!$B$1:$B$500,K309))</f>
        <v/>
      </c>
      <c r="K309" s="86" t="n">
        <f aca="false">INT((ROW()-2)/7)+2</f>
        <v>45</v>
      </c>
      <c r="L309" s="86" t="n">
        <f aca="false">MOD(ROW()-2,7)+1</f>
        <v>7</v>
      </c>
    </row>
    <row r="310" customFormat="false" ht="15" hidden="false" customHeight="false" outlineLevel="0" collapsed="false">
      <c r="A310" s="85" t="str">
        <f aca="false">IF(INDEX(Candidates!$A$1:$A$500,K310)="","",INDEX(Candidates!$A$1:$A$500,K310))</f>
        <v/>
      </c>
      <c r="B310" s="85" t="str">
        <f aca="false">IF(A310="","",INDEX(Candidates!$C$1:$C$500,K310))</f>
        <v/>
      </c>
      <c r="C310" s="85" t="str">
        <f aca="false">IF(A310="","",INDEX(Candidates!$D$1:$D$500,K310))</f>
        <v/>
      </c>
      <c r="D310" s="85" t="str">
        <f aca="false">IF(A310="","",L310)</f>
        <v/>
      </c>
      <c r="E310" s="85" t="str">
        <f aca="false">IF(A310="","",INDEX($O$2:$O$8,L310))</f>
        <v/>
      </c>
      <c r="F310" s="85" t="str">
        <f aca="false">IF(A310="","",IF(ISNUMBER(INDEX(Candidates!$A$1:$Z$500,K310,INDEX($P$2:$P$8,L310))),INDEX(Candidates!$A$1:$Z$500,K310,INDEX($P$2:$P$8,L310)),""))</f>
        <v/>
      </c>
      <c r="G310" s="85" t="str">
        <f aca="false">IF(A310="","",INDEX($Q$2:$Q$8,L310))</f>
        <v/>
      </c>
      <c r="H310" s="85" t="str">
        <f aca="false">IF(A310="","",IF(F310="","Not yet scored",IF(F310&gt;=G310,"Pass","Fail")))</f>
        <v/>
      </c>
      <c r="I310" s="85" t="str">
        <f aca="false">IF(A310="","",INDEX(Candidates!$B$1:$B$500,K310))</f>
        <v/>
      </c>
      <c r="K310" s="86" t="n">
        <f aca="false">INT((ROW()-2)/7)+2</f>
        <v>46</v>
      </c>
      <c r="L310" s="86" t="n">
        <f aca="false">MOD(ROW()-2,7)+1</f>
        <v>1</v>
      </c>
    </row>
    <row r="311" customFormat="false" ht="15" hidden="false" customHeight="false" outlineLevel="0" collapsed="false">
      <c r="A311" s="85" t="str">
        <f aca="false">IF(INDEX(Candidates!$A$1:$A$500,K311)="","",INDEX(Candidates!$A$1:$A$500,K311))</f>
        <v/>
      </c>
      <c r="B311" s="85" t="str">
        <f aca="false">IF(A311="","",INDEX(Candidates!$C$1:$C$500,K311))</f>
        <v/>
      </c>
      <c r="C311" s="85" t="str">
        <f aca="false">IF(A311="","",INDEX(Candidates!$D$1:$D$500,K311))</f>
        <v/>
      </c>
      <c r="D311" s="85" t="str">
        <f aca="false">IF(A311="","",L311)</f>
        <v/>
      </c>
      <c r="E311" s="85" t="str">
        <f aca="false">IF(A311="","",INDEX($O$2:$O$8,L311))</f>
        <v/>
      </c>
      <c r="F311" s="85" t="str">
        <f aca="false">IF(A311="","",IF(ISNUMBER(INDEX(Candidates!$A$1:$Z$500,K311,INDEX($P$2:$P$8,L311))),INDEX(Candidates!$A$1:$Z$500,K311,INDEX($P$2:$P$8,L311)),""))</f>
        <v/>
      </c>
      <c r="G311" s="85" t="str">
        <f aca="false">IF(A311="","",INDEX($Q$2:$Q$8,L311))</f>
        <v/>
      </c>
      <c r="H311" s="85" t="str">
        <f aca="false">IF(A311="","",IF(F311="","Not yet scored",IF(F311&gt;=G311,"Pass","Fail")))</f>
        <v/>
      </c>
      <c r="I311" s="85" t="str">
        <f aca="false">IF(A311="","",INDEX(Candidates!$B$1:$B$500,K311))</f>
        <v/>
      </c>
      <c r="K311" s="86" t="n">
        <f aca="false">INT((ROW()-2)/7)+2</f>
        <v>46</v>
      </c>
      <c r="L311" s="86" t="n">
        <f aca="false">MOD(ROW()-2,7)+1</f>
        <v>2</v>
      </c>
    </row>
    <row r="312" customFormat="false" ht="15" hidden="false" customHeight="false" outlineLevel="0" collapsed="false">
      <c r="A312" s="85" t="str">
        <f aca="false">IF(INDEX(Candidates!$A$1:$A$500,K312)="","",INDEX(Candidates!$A$1:$A$500,K312))</f>
        <v/>
      </c>
      <c r="B312" s="85" t="str">
        <f aca="false">IF(A312="","",INDEX(Candidates!$C$1:$C$500,K312))</f>
        <v/>
      </c>
      <c r="C312" s="85" t="str">
        <f aca="false">IF(A312="","",INDEX(Candidates!$D$1:$D$500,K312))</f>
        <v/>
      </c>
      <c r="D312" s="85" t="str">
        <f aca="false">IF(A312="","",L312)</f>
        <v/>
      </c>
      <c r="E312" s="85" t="str">
        <f aca="false">IF(A312="","",INDEX($O$2:$O$8,L312))</f>
        <v/>
      </c>
      <c r="F312" s="85" t="str">
        <f aca="false">IF(A312="","",IF(ISNUMBER(INDEX(Candidates!$A$1:$Z$500,K312,INDEX($P$2:$P$8,L312))),INDEX(Candidates!$A$1:$Z$500,K312,INDEX($P$2:$P$8,L312)),""))</f>
        <v/>
      </c>
      <c r="G312" s="85" t="str">
        <f aca="false">IF(A312="","",INDEX($Q$2:$Q$8,L312))</f>
        <v/>
      </c>
      <c r="H312" s="85" t="str">
        <f aca="false">IF(A312="","",IF(F312="","Not yet scored",IF(F312&gt;=G312,"Pass","Fail")))</f>
        <v/>
      </c>
      <c r="I312" s="85" t="str">
        <f aca="false">IF(A312="","",INDEX(Candidates!$B$1:$B$500,K312))</f>
        <v/>
      </c>
      <c r="K312" s="86" t="n">
        <f aca="false">INT((ROW()-2)/7)+2</f>
        <v>46</v>
      </c>
      <c r="L312" s="86" t="n">
        <f aca="false">MOD(ROW()-2,7)+1</f>
        <v>3</v>
      </c>
    </row>
    <row r="313" customFormat="false" ht="15" hidden="false" customHeight="false" outlineLevel="0" collapsed="false">
      <c r="A313" s="85" t="str">
        <f aca="false">IF(INDEX(Candidates!$A$1:$A$500,K313)="","",INDEX(Candidates!$A$1:$A$500,K313))</f>
        <v/>
      </c>
      <c r="B313" s="85" t="str">
        <f aca="false">IF(A313="","",INDEX(Candidates!$C$1:$C$500,K313))</f>
        <v/>
      </c>
      <c r="C313" s="85" t="str">
        <f aca="false">IF(A313="","",INDEX(Candidates!$D$1:$D$500,K313))</f>
        <v/>
      </c>
      <c r="D313" s="85" t="str">
        <f aca="false">IF(A313="","",L313)</f>
        <v/>
      </c>
      <c r="E313" s="85" t="str">
        <f aca="false">IF(A313="","",INDEX($O$2:$O$8,L313))</f>
        <v/>
      </c>
      <c r="F313" s="85" t="str">
        <f aca="false">IF(A313="","",IF(ISNUMBER(INDEX(Candidates!$A$1:$Z$500,K313,INDEX($P$2:$P$8,L313))),INDEX(Candidates!$A$1:$Z$500,K313,INDEX($P$2:$P$8,L313)),""))</f>
        <v/>
      </c>
      <c r="G313" s="85" t="str">
        <f aca="false">IF(A313="","",INDEX($Q$2:$Q$8,L313))</f>
        <v/>
      </c>
      <c r="H313" s="85" t="str">
        <f aca="false">IF(A313="","",IF(F313="","Not yet scored",IF(F313&gt;=G313,"Pass","Fail")))</f>
        <v/>
      </c>
      <c r="I313" s="85" t="str">
        <f aca="false">IF(A313="","",INDEX(Candidates!$B$1:$B$500,K313))</f>
        <v/>
      </c>
      <c r="K313" s="86" t="n">
        <f aca="false">INT((ROW()-2)/7)+2</f>
        <v>46</v>
      </c>
      <c r="L313" s="86" t="n">
        <f aca="false">MOD(ROW()-2,7)+1</f>
        <v>4</v>
      </c>
    </row>
    <row r="314" customFormat="false" ht="15" hidden="false" customHeight="false" outlineLevel="0" collapsed="false">
      <c r="A314" s="85" t="str">
        <f aca="false">IF(INDEX(Candidates!$A$1:$A$500,K314)="","",INDEX(Candidates!$A$1:$A$500,K314))</f>
        <v/>
      </c>
      <c r="B314" s="85" t="str">
        <f aca="false">IF(A314="","",INDEX(Candidates!$C$1:$C$500,K314))</f>
        <v/>
      </c>
      <c r="C314" s="85" t="str">
        <f aca="false">IF(A314="","",INDEX(Candidates!$D$1:$D$500,K314))</f>
        <v/>
      </c>
      <c r="D314" s="85" t="str">
        <f aca="false">IF(A314="","",L314)</f>
        <v/>
      </c>
      <c r="E314" s="85" t="str">
        <f aca="false">IF(A314="","",INDEX($O$2:$O$8,L314))</f>
        <v/>
      </c>
      <c r="F314" s="85" t="str">
        <f aca="false">IF(A314="","",IF(ISNUMBER(INDEX(Candidates!$A$1:$Z$500,K314,INDEX($P$2:$P$8,L314))),INDEX(Candidates!$A$1:$Z$500,K314,INDEX($P$2:$P$8,L314)),""))</f>
        <v/>
      </c>
      <c r="G314" s="85" t="str">
        <f aca="false">IF(A314="","",INDEX($Q$2:$Q$8,L314))</f>
        <v/>
      </c>
      <c r="H314" s="85" t="str">
        <f aca="false">IF(A314="","",IF(F314="","Not yet scored",IF(F314&gt;=G314,"Pass","Fail")))</f>
        <v/>
      </c>
      <c r="I314" s="85" t="str">
        <f aca="false">IF(A314="","",INDEX(Candidates!$B$1:$B$500,K314))</f>
        <v/>
      </c>
      <c r="K314" s="86" t="n">
        <f aca="false">INT((ROW()-2)/7)+2</f>
        <v>46</v>
      </c>
      <c r="L314" s="86" t="n">
        <f aca="false">MOD(ROW()-2,7)+1</f>
        <v>5</v>
      </c>
    </row>
    <row r="315" customFormat="false" ht="15" hidden="false" customHeight="false" outlineLevel="0" collapsed="false">
      <c r="A315" s="85" t="str">
        <f aca="false">IF(INDEX(Candidates!$A$1:$A$500,K315)="","",INDEX(Candidates!$A$1:$A$500,K315))</f>
        <v/>
      </c>
      <c r="B315" s="85" t="str">
        <f aca="false">IF(A315="","",INDEX(Candidates!$C$1:$C$500,K315))</f>
        <v/>
      </c>
      <c r="C315" s="85" t="str">
        <f aca="false">IF(A315="","",INDEX(Candidates!$D$1:$D$500,K315))</f>
        <v/>
      </c>
      <c r="D315" s="85" t="str">
        <f aca="false">IF(A315="","",L315)</f>
        <v/>
      </c>
      <c r="E315" s="85" t="str">
        <f aca="false">IF(A315="","",INDEX($O$2:$O$8,L315))</f>
        <v/>
      </c>
      <c r="F315" s="85" t="str">
        <f aca="false">IF(A315="","",IF(ISNUMBER(INDEX(Candidates!$A$1:$Z$500,K315,INDEX($P$2:$P$8,L315))),INDEX(Candidates!$A$1:$Z$500,K315,INDEX($P$2:$P$8,L315)),""))</f>
        <v/>
      </c>
      <c r="G315" s="85" t="str">
        <f aca="false">IF(A315="","",INDEX($Q$2:$Q$8,L315))</f>
        <v/>
      </c>
      <c r="H315" s="85" t="str">
        <f aca="false">IF(A315="","",IF(F315="","Not yet scored",IF(F315&gt;=G315,"Pass","Fail")))</f>
        <v/>
      </c>
      <c r="I315" s="85" t="str">
        <f aca="false">IF(A315="","",INDEX(Candidates!$B$1:$B$500,K315))</f>
        <v/>
      </c>
      <c r="K315" s="86" t="n">
        <f aca="false">INT((ROW()-2)/7)+2</f>
        <v>46</v>
      </c>
      <c r="L315" s="86" t="n">
        <f aca="false">MOD(ROW()-2,7)+1</f>
        <v>6</v>
      </c>
    </row>
    <row r="316" customFormat="false" ht="15" hidden="false" customHeight="false" outlineLevel="0" collapsed="false">
      <c r="A316" s="85" t="str">
        <f aca="false">IF(INDEX(Candidates!$A$1:$A$500,K316)="","",INDEX(Candidates!$A$1:$A$500,K316))</f>
        <v/>
      </c>
      <c r="B316" s="85" t="str">
        <f aca="false">IF(A316="","",INDEX(Candidates!$C$1:$C$500,K316))</f>
        <v/>
      </c>
      <c r="C316" s="85" t="str">
        <f aca="false">IF(A316="","",INDEX(Candidates!$D$1:$D$500,K316))</f>
        <v/>
      </c>
      <c r="D316" s="85" t="str">
        <f aca="false">IF(A316="","",L316)</f>
        <v/>
      </c>
      <c r="E316" s="85" t="str">
        <f aca="false">IF(A316="","",INDEX($O$2:$O$8,L316))</f>
        <v/>
      </c>
      <c r="F316" s="85" t="str">
        <f aca="false">IF(A316="","",IF(ISNUMBER(INDEX(Candidates!$A$1:$Z$500,K316,INDEX($P$2:$P$8,L316))),INDEX(Candidates!$A$1:$Z$500,K316,INDEX($P$2:$P$8,L316)),""))</f>
        <v/>
      </c>
      <c r="G316" s="85" t="str">
        <f aca="false">IF(A316="","",INDEX($Q$2:$Q$8,L316))</f>
        <v/>
      </c>
      <c r="H316" s="85" t="str">
        <f aca="false">IF(A316="","",IF(F316="","Not yet scored",IF(F316&gt;=G316,"Pass","Fail")))</f>
        <v/>
      </c>
      <c r="I316" s="85" t="str">
        <f aca="false">IF(A316="","",INDEX(Candidates!$B$1:$B$500,K316))</f>
        <v/>
      </c>
      <c r="K316" s="86" t="n">
        <f aca="false">INT((ROW()-2)/7)+2</f>
        <v>46</v>
      </c>
      <c r="L316" s="86" t="n">
        <f aca="false">MOD(ROW()-2,7)+1</f>
        <v>7</v>
      </c>
    </row>
    <row r="317" customFormat="false" ht="15" hidden="false" customHeight="false" outlineLevel="0" collapsed="false">
      <c r="A317" s="85" t="str">
        <f aca="false">IF(INDEX(Candidates!$A$1:$A$500,K317)="","",INDEX(Candidates!$A$1:$A$500,K317))</f>
        <v/>
      </c>
      <c r="B317" s="85" t="str">
        <f aca="false">IF(A317="","",INDEX(Candidates!$C$1:$C$500,K317))</f>
        <v/>
      </c>
      <c r="C317" s="85" t="str">
        <f aca="false">IF(A317="","",INDEX(Candidates!$D$1:$D$500,K317))</f>
        <v/>
      </c>
      <c r="D317" s="85" t="str">
        <f aca="false">IF(A317="","",L317)</f>
        <v/>
      </c>
      <c r="E317" s="85" t="str">
        <f aca="false">IF(A317="","",INDEX($O$2:$O$8,L317))</f>
        <v/>
      </c>
      <c r="F317" s="85" t="str">
        <f aca="false">IF(A317="","",IF(ISNUMBER(INDEX(Candidates!$A$1:$Z$500,K317,INDEX($P$2:$P$8,L317))),INDEX(Candidates!$A$1:$Z$500,K317,INDEX($P$2:$P$8,L317)),""))</f>
        <v/>
      </c>
      <c r="G317" s="85" t="str">
        <f aca="false">IF(A317="","",INDEX($Q$2:$Q$8,L317))</f>
        <v/>
      </c>
      <c r="H317" s="85" t="str">
        <f aca="false">IF(A317="","",IF(F317="","Not yet scored",IF(F317&gt;=G317,"Pass","Fail")))</f>
        <v/>
      </c>
      <c r="I317" s="85" t="str">
        <f aca="false">IF(A317="","",INDEX(Candidates!$B$1:$B$500,K317))</f>
        <v/>
      </c>
      <c r="K317" s="86" t="n">
        <f aca="false">INT((ROW()-2)/7)+2</f>
        <v>47</v>
      </c>
      <c r="L317" s="86" t="n">
        <f aca="false">MOD(ROW()-2,7)+1</f>
        <v>1</v>
      </c>
    </row>
    <row r="318" customFormat="false" ht="15" hidden="false" customHeight="false" outlineLevel="0" collapsed="false">
      <c r="A318" s="85" t="str">
        <f aca="false">IF(INDEX(Candidates!$A$1:$A$500,K318)="","",INDEX(Candidates!$A$1:$A$500,K318))</f>
        <v/>
      </c>
      <c r="B318" s="85" t="str">
        <f aca="false">IF(A318="","",INDEX(Candidates!$C$1:$C$500,K318))</f>
        <v/>
      </c>
      <c r="C318" s="85" t="str">
        <f aca="false">IF(A318="","",INDEX(Candidates!$D$1:$D$500,K318))</f>
        <v/>
      </c>
      <c r="D318" s="85" t="str">
        <f aca="false">IF(A318="","",L318)</f>
        <v/>
      </c>
      <c r="E318" s="85" t="str">
        <f aca="false">IF(A318="","",INDEX($O$2:$O$8,L318))</f>
        <v/>
      </c>
      <c r="F318" s="85" t="str">
        <f aca="false">IF(A318="","",IF(ISNUMBER(INDEX(Candidates!$A$1:$Z$500,K318,INDEX($P$2:$P$8,L318))),INDEX(Candidates!$A$1:$Z$500,K318,INDEX($P$2:$P$8,L318)),""))</f>
        <v/>
      </c>
      <c r="G318" s="85" t="str">
        <f aca="false">IF(A318="","",INDEX($Q$2:$Q$8,L318))</f>
        <v/>
      </c>
      <c r="H318" s="85" t="str">
        <f aca="false">IF(A318="","",IF(F318="","Not yet scored",IF(F318&gt;=G318,"Pass","Fail")))</f>
        <v/>
      </c>
      <c r="I318" s="85" t="str">
        <f aca="false">IF(A318="","",INDEX(Candidates!$B$1:$B$500,K318))</f>
        <v/>
      </c>
      <c r="K318" s="86" t="n">
        <f aca="false">INT((ROW()-2)/7)+2</f>
        <v>47</v>
      </c>
      <c r="L318" s="86" t="n">
        <f aca="false">MOD(ROW()-2,7)+1</f>
        <v>2</v>
      </c>
    </row>
    <row r="319" customFormat="false" ht="15" hidden="false" customHeight="false" outlineLevel="0" collapsed="false">
      <c r="A319" s="85" t="str">
        <f aca="false">IF(INDEX(Candidates!$A$1:$A$500,K319)="","",INDEX(Candidates!$A$1:$A$500,K319))</f>
        <v/>
      </c>
      <c r="B319" s="85" t="str">
        <f aca="false">IF(A319="","",INDEX(Candidates!$C$1:$C$500,K319))</f>
        <v/>
      </c>
      <c r="C319" s="85" t="str">
        <f aca="false">IF(A319="","",INDEX(Candidates!$D$1:$D$500,K319))</f>
        <v/>
      </c>
      <c r="D319" s="85" t="str">
        <f aca="false">IF(A319="","",L319)</f>
        <v/>
      </c>
      <c r="E319" s="85" t="str">
        <f aca="false">IF(A319="","",INDEX($O$2:$O$8,L319))</f>
        <v/>
      </c>
      <c r="F319" s="85" t="str">
        <f aca="false">IF(A319="","",IF(ISNUMBER(INDEX(Candidates!$A$1:$Z$500,K319,INDEX($P$2:$P$8,L319))),INDEX(Candidates!$A$1:$Z$500,K319,INDEX($P$2:$P$8,L319)),""))</f>
        <v/>
      </c>
      <c r="G319" s="85" t="str">
        <f aca="false">IF(A319="","",INDEX($Q$2:$Q$8,L319))</f>
        <v/>
      </c>
      <c r="H319" s="85" t="str">
        <f aca="false">IF(A319="","",IF(F319="","Not yet scored",IF(F319&gt;=G319,"Pass","Fail")))</f>
        <v/>
      </c>
      <c r="I319" s="85" t="str">
        <f aca="false">IF(A319="","",INDEX(Candidates!$B$1:$B$500,K319))</f>
        <v/>
      </c>
      <c r="K319" s="86" t="n">
        <f aca="false">INT((ROW()-2)/7)+2</f>
        <v>47</v>
      </c>
      <c r="L319" s="86" t="n">
        <f aca="false">MOD(ROW()-2,7)+1</f>
        <v>3</v>
      </c>
    </row>
    <row r="320" customFormat="false" ht="15" hidden="false" customHeight="false" outlineLevel="0" collapsed="false">
      <c r="A320" s="85" t="str">
        <f aca="false">IF(INDEX(Candidates!$A$1:$A$500,K320)="","",INDEX(Candidates!$A$1:$A$500,K320))</f>
        <v/>
      </c>
      <c r="B320" s="85" t="str">
        <f aca="false">IF(A320="","",INDEX(Candidates!$C$1:$C$500,K320))</f>
        <v/>
      </c>
      <c r="C320" s="85" t="str">
        <f aca="false">IF(A320="","",INDEX(Candidates!$D$1:$D$500,K320))</f>
        <v/>
      </c>
      <c r="D320" s="85" t="str">
        <f aca="false">IF(A320="","",L320)</f>
        <v/>
      </c>
      <c r="E320" s="85" t="str">
        <f aca="false">IF(A320="","",INDEX($O$2:$O$8,L320))</f>
        <v/>
      </c>
      <c r="F320" s="85" t="str">
        <f aca="false">IF(A320="","",IF(ISNUMBER(INDEX(Candidates!$A$1:$Z$500,K320,INDEX($P$2:$P$8,L320))),INDEX(Candidates!$A$1:$Z$500,K320,INDEX($P$2:$P$8,L320)),""))</f>
        <v/>
      </c>
      <c r="G320" s="85" t="str">
        <f aca="false">IF(A320="","",INDEX($Q$2:$Q$8,L320))</f>
        <v/>
      </c>
      <c r="H320" s="85" t="str">
        <f aca="false">IF(A320="","",IF(F320="","Not yet scored",IF(F320&gt;=G320,"Pass","Fail")))</f>
        <v/>
      </c>
      <c r="I320" s="85" t="str">
        <f aca="false">IF(A320="","",INDEX(Candidates!$B$1:$B$500,K320))</f>
        <v/>
      </c>
      <c r="K320" s="86" t="n">
        <f aca="false">INT((ROW()-2)/7)+2</f>
        <v>47</v>
      </c>
      <c r="L320" s="86" t="n">
        <f aca="false">MOD(ROW()-2,7)+1</f>
        <v>4</v>
      </c>
    </row>
    <row r="321" customFormat="false" ht="15" hidden="false" customHeight="false" outlineLevel="0" collapsed="false">
      <c r="A321" s="85" t="str">
        <f aca="false">IF(INDEX(Candidates!$A$1:$A$500,K321)="","",INDEX(Candidates!$A$1:$A$500,K321))</f>
        <v/>
      </c>
      <c r="B321" s="85" t="str">
        <f aca="false">IF(A321="","",INDEX(Candidates!$C$1:$C$500,K321))</f>
        <v/>
      </c>
      <c r="C321" s="85" t="str">
        <f aca="false">IF(A321="","",INDEX(Candidates!$D$1:$D$500,K321))</f>
        <v/>
      </c>
      <c r="D321" s="85" t="str">
        <f aca="false">IF(A321="","",L321)</f>
        <v/>
      </c>
      <c r="E321" s="85" t="str">
        <f aca="false">IF(A321="","",INDEX($O$2:$O$8,L321))</f>
        <v/>
      </c>
      <c r="F321" s="85" t="str">
        <f aca="false">IF(A321="","",IF(ISNUMBER(INDEX(Candidates!$A$1:$Z$500,K321,INDEX($P$2:$P$8,L321))),INDEX(Candidates!$A$1:$Z$500,K321,INDEX($P$2:$P$8,L321)),""))</f>
        <v/>
      </c>
      <c r="G321" s="85" t="str">
        <f aca="false">IF(A321="","",INDEX($Q$2:$Q$8,L321))</f>
        <v/>
      </c>
      <c r="H321" s="85" t="str">
        <f aca="false">IF(A321="","",IF(F321="","Not yet scored",IF(F321&gt;=G321,"Pass","Fail")))</f>
        <v/>
      </c>
      <c r="I321" s="85" t="str">
        <f aca="false">IF(A321="","",INDEX(Candidates!$B$1:$B$500,K321))</f>
        <v/>
      </c>
      <c r="K321" s="86" t="n">
        <f aca="false">INT((ROW()-2)/7)+2</f>
        <v>47</v>
      </c>
      <c r="L321" s="86" t="n">
        <f aca="false">MOD(ROW()-2,7)+1</f>
        <v>5</v>
      </c>
    </row>
    <row r="322" customFormat="false" ht="15" hidden="false" customHeight="false" outlineLevel="0" collapsed="false">
      <c r="A322" s="85" t="str">
        <f aca="false">IF(INDEX(Candidates!$A$1:$A$500,K322)="","",INDEX(Candidates!$A$1:$A$500,K322))</f>
        <v/>
      </c>
      <c r="B322" s="85" t="str">
        <f aca="false">IF(A322="","",INDEX(Candidates!$C$1:$C$500,K322))</f>
        <v/>
      </c>
      <c r="C322" s="85" t="str">
        <f aca="false">IF(A322="","",INDEX(Candidates!$D$1:$D$500,K322))</f>
        <v/>
      </c>
      <c r="D322" s="85" t="str">
        <f aca="false">IF(A322="","",L322)</f>
        <v/>
      </c>
      <c r="E322" s="85" t="str">
        <f aca="false">IF(A322="","",INDEX($O$2:$O$8,L322))</f>
        <v/>
      </c>
      <c r="F322" s="85" t="str">
        <f aca="false">IF(A322="","",IF(ISNUMBER(INDEX(Candidates!$A$1:$Z$500,K322,INDEX($P$2:$P$8,L322))),INDEX(Candidates!$A$1:$Z$500,K322,INDEX($P$2:$P$8,L322)),""))</f>
        <v/>
      </c>
      <c r="G322" s="85" t="str">
        <f aca="false">IF(A322="","",INDEX($Q$2:$Q$8,L322))</f>
        <v/>
      </c>
      <c r="H322" s="85" t="str">
        <f aca="false">IF(A322="","",IF(F322="","Not yet scored",IF(F322&gt;=G322,"Pass","Fail")))</f>
        <v/>
      </c>
      <c r="I322" s="85" t="str">
        <f aca="false">IF(A322="","",INDEX(Candidates!$B$1:$B$500,K322))</f>
        <v/>
      </c>
      <c r="K322" s="86" t="n">
        <f aca="false">INT((ROW()-2)/7)+2</f>
        <v>47</v>
      </c>
      <c r="L322" s="86" t="n">
        <f aca="false">MOD(ROW()-2,7)+1</f>
        <v>6</v>
      </c>
    </row>
    <row r="323" customFormat="false" ht="15" hidden="false" customHeight="false" outlineLevel="0" collapsed="false">
      <c r="A323" s="85" t="str">
        <f aca="false">IF(INDEX(Candidates!$A$1:$A$500,K323)="","",INDEX(Candidates!$A$1:$A$500,K323))</f>
        <v/>
      </c>
      <c r="B323" s="85" t="str">
        <f aca="false">IF(A323="","",INDEX(Candidates!$C$1:$C$500,K323))</f>
        <v/>
      </c>
      <c r="C323" s="85" t="str">
        <f aca="false">IF(A323="","",INDEX(Candidates!$D$1:$D$500,K323))</f>
        <v/>
      </c>
      <c r="D323" s="85" t="str">
        <f aca="false">IF(A323="","",L323)</f>
        <v/>
      </c>
      <c r="E323" s="85" t="str">
        <f aca="false">IF(A323="","",INDEX($O$2:$O$8,L323))</f>
        <v/>
      </c>
      <c r="F323" s="85" t="str">
        <f aca="false">IF(A323="","",IF(ISNUMBER(INDEX(Candidates!$A$1:$Z$500,K323,INDEX($P$2:$P$8,L323))),INDEX(Candidates!$A$1:$Z$500,K323,INDEX($P$2:$P$8,L323)),""))</f>
        <v/>
      </c>
      <c r="G323" s="85" t="str">
        <f aca="false">IF(A323="","",INDEX($Q$2:$Q$8,L323))</f>
        <v/>
      </c>
      <c r="H323" s="85" t="str">
        <f aca="false">IF(A323="","",IF(F323="","Not yet scored",IF(F323&gt;=G323,"Pass","Fail")))</f>
        <v/>
      </c>
      <c r="I323" s="85" t="str">
        <f aca="false">IF(A323="","",INDEX(Candidates!$B$1:$B$500,K323))</f>
        <v/>
      </c>
      <c r="K323" s="86" t="n">
        <f aca="false">INT((ROW()-2)/7)+2</f>
        <v>47</v>
      </c>
      <c r="L323" s="86" t="n">
        <f aca="false">MOD(ROW()-2,7)+1</f>
        <v>7</v>
      </c>
    </row>
    <row r="324" customFormat="false" ht="15" hidden="false" customHeight="false" outlineLevel="0" collapsed="false">
      <c r="A324" s="85" t="str">
        <f aca="false">IF(INDEX(Candidates!$A$1:$A$500,K324)="","",INDEX(Candidates!$A$1:$A$500,K324))</f>
        <v/>
      </c>
      <c r="B324" s="85" t="str">
        <f aca="false">IF(A324="","",INDEX(Candidates!$C$1:$C$500,K324))</f>
        <v/>
      </c>
      <c r="C324" s="85" t="str">
        <f aca="false">IF(A324="","",INDEX(Candidates!$D$1:$D$500,K324))</f>
        <v/>
      </c>
      <c r="D324" s="85" t="str">
        <f aca="false">IF(A324="","",L324)</f>
        <v/>
      </c>
      <c r="E324" s="85" t="str">
        <f aca="false">IF(A324="","",INDEX($O$2:$O$8,L324))</f>
        <v/>
      </c>
      <c r="F324" s="85" t="str">
        <f aca="false">IF(A324="","",IF(ISNUMBER(INDEX(Candidates!$A$1:$Z$500,K324,INDEX($P$2:$P$8,L324))),INDEX(Candidates!$A$1:$Z$500,K324,INDEX($P$2:$P$8,L324)),""))</f>
        <v/>
      </c>
      <c r="G324" s="85" t="str">
        <f aca="false">IF(A324="","",INDEX($Q$2:$Q$8,L324))</f>
        <v/>
      </c>
      <c r="H324" s="85" t="str">
        <f aca="false">IF(A324="","",IF(F324="","Not yet scored",IF(F324&gt;=G324,"Pass","Fail")))</f>
        <v/>
      </c>
      <c r="I324" s="85" t="str">
        <f aca="false">IF(A324="","",INDEX(Candidates!$B$1:$B$500,K324))</f>
        <v/>
      </c>
      <c r="K324" s="86" t="n">
        <f aca="false">INT((ROW()-2)/7)+2</f>
        <v>48</v>
      </c>
      <c r="L324" s="86" t="n">
        <f aca="false">MOD(ROW()-2,7)+1</f>
        <v>1</v>
      </c>
    </row>
    <row r="325" customFormat="false" ht="15" hidden="false" customHeight="false" outlineLevel="0" collapsed="false">
      <c r="A325" s="85" t="str">
        <f aca="false">IF(INDEX(Candidates!$A$1:$A$500,K325)="","",INDEX(Candidates!$A$1:$A$500,K325))</f>
        <v/>
      </c>
      <c r="B325" s="85" t="str">
        <f aca="false">IF(A325="","",INDEX(Candidates!$C$1:$C$500,K325))</f>
        <v/>
      </c>
      <c r="C325" s="85" t="str">
        <f aca="false">IF(A325="","",INDEX(Candidates!$D$1:$D$500,K325))</f>
        <v/>
      </c>
      <c r="D325" s="85" t="str">
        <f aca="false">IF(A325="","",L325)</f>
        <v/>
      </c>
      <c r="E325" s="85" t="str">
        <f aca="false">IF(A325="","",INDEX($O$2:$O$8,L325))</f>
        <v/>
      </c>
      <c r="F325" s="85" t="str">
        <f aca="false">IF(A325="","",IF(ISNUMBER(INDEX(Candidates!$A$1:$Z$500,K325,INDEX($P$2:$P$8,L325))),INDEX(Candidates!$A$1:$Z$500,K325,INDEX($P$2:$P$8,L325)),""))</f>
        <v/>
      </c>
      <c r="G325" s="85" t="str">
        <f aca="false">IF(A325="","",INDEX($Q$2:$Q$8,L325))</f>
        <v/>
      </c>
      <c r="H325" s="85" t="str">
        <f aca="false">IF(A325="","",IF(F325="","Not yet scored",IF(F325&gt;=G325,"Pass","Fail")))</f>
        <v/>
      </c>
      <c r="I325" s="85" t="str">
        <f aca="false">IF(A325="","",INDEX(Candidates!$B$1:$B$500,K325))</f>
        <v/>
      </c>
      <c r="K325" s="86" t="n">
        <f aca="false">INT((ROW()-2)/7)+2</f>
        <v>48</v>
      </c>
      <c r="L325" s="86" t="n">
        <f aca="false">MOD(ROW()-2,7)+1</f>
        <v>2</v>
      </c>
    </row>
    <row r="326" customFormat="false" ht="15" hidden="false" customHeight="false" outlineLevel="0" collapsed="false">
      <c r="A326" s="85" t="str">
        <f aca="false">IF(INDEX(Candidates!$A$1:$A$500,K326)="","",INDEX(Candidates!$A$1:$A$500,K326))</f>
        <v/>
      </c>
      <c r="B326" s="85" t="str">
        <f aca="false">IF(A326="","",INDEX(Candidates!$C$1:$C$500,K326))</f>
        <v/>
      </c>
      <c r="C326" s="85" t="str">
        <f aca="false">IF(A326="","",INDEX(Candidates!$D$1:$D$500,K326))</f>
        <v/>
      </c>
      <c r="D326" s="85" t="str">
        <f aca="false">IF(A326="","",L326)</f>
        <v/>
      </c>
      <c r="E326" s="85" t="str">
        <f aca="false">IF(A326="","",INDEX($O$2:$O$8,L326))</f>
        <v/>
      </c>
      <c r="F326" s="85" t="str">
        <f aca="false">IF(A326="","",IF(ISNUMBER(INDEX(Candidates!$A$1:$Z$500,K326,INDEX($P$2:$P$8,L326))),INDEX(Candidates!$A$1:$Z$500,K326,INDEX($P$2:$P$8,L326)),""))</f>
        <v/>
      </c>
      <c r="G326" s="85" t="str">
        <f aca="false">IF(A326="","",INDEX($Q$2:$Q$8,L326))</f>
        <v/>
      </c>
      <c r="H326" s="85" t="str">
        <f aca="false">IF(A326="","",IF(F326="","Not yet scored",IF(F326&gt;=G326,"Pass","Fail")))</f>
        <v/>
      </c>
      <c r="I326" s="85" t="str">
        <f aca="false">IF(A326="","",INDEX(Candidates!$B$1:$B$500,K326))</f>
        <v/>
      </c>
      <c r="K326" s="86" t="n">
        <f aca="false">INT((ROW()-2)/7)+2</f>
        <v>48</v>
      </c>
      <c r="L326" s="86" t="n">
        <f aca="false">MOD(ROW()-2,7)+1</f>
        <v>3</v>
      </c>
    </row>
    <row r="327" customFormat="false" ht="15" hidden="false" customHeight="false" outlineLevel="0" collapsed="false">
      <c r="A327" s="85" t="str">
        <f aca="false">IF(INDEX(Candidates!$A$1:$A$500,K327)="","",INDEX(Candidates!$A$1:$A$500,K327))</f>
        <v/>
      </c>
      <c r="B327" s="85" t="str">
        <f aca="false">IF(A327="","",INDEX(Candidates!$C$1:$C$500,K327))</f>
        <v/>
      </c>
      <c r="C327" s="85" t="str">
        <f aca="false">IF(A327="","",INDEX(Candidates!$D$1:$D$500,K327))</f>
        <v/>
      </c>
      <c r="D327" s="85" t="str">
        <f aca="false">IF(A327="","",L327)</f>
        <v/>
      </c>
      <c r="E327" s="85" t="str">
        <f aca="false">IF(A327="","",INDEX($O$2:$O$8,L327))</f>
        <v/>
      </c>
      <c r="F327" s="85" t="str">
        <f aca="false">IF(A327="","",IF(ISNUMBER(INDEX(Candidates!$A$1:$Z$500,K327,INDEX($P$2:$P$8,L327))),INDEX(Candidates!$A$1:$Z$500,K327,INDEX($P$2:$P$8,L327)),""))</f>
        <v/>
      </c>
      <c r="G327" s="85" t="str">
        <f aca="false">IF(A327="","",INDEX($Q$2:$Q$8,L327))</f>
        <v/>
      </c>
      <c r="H327" s="85" t="str">
        <f aca="false">IF(A327="","",IF(F327="","Not yet scored",IF(F327&gt;=G327,"Pass","Fail")))</f>
        <v/>
      </c>
      <c r="I327" s="85" t="str">
        <f aca="false">IF(A327="","",INDEX(Candidates!$B$1:$B$500,K327))</f>
        <v/>
      </c>
      <c r="K327" s="86" t="n">
        <f aca="false">INT((ROW()-2)/7)+2</f>
        <v>48</v>
      </c>
      <c r="L327" s="86" t="n">
        <f aca="false">MOD(ROW()-2,7)+1</f>
        <v>4</v>
      </c>
    </row>
    <row r="328" customFormat="false" ht="15" hidden="false" customHeight="false" outlineLevel="0" collapsed="false">
      <c r="A328" s="85" t="str">
        <f aca="false">IF(INDEX(Candidates!$A$1:$A$500,K328)="","",INDEX(Candidates!$A$1:$A$500,K328))</f>
        <v/>
      </c>
      <c r="B328" s="85" t="str">
        <f aca="false">IF(A328="","",INDEX(Candidates!$C$1:$C$500,K328))</f>
        <v/>
      </c>
      <c r="C328" s="85" t="str">
        <f aca="false">IF(A328="","",INDEX(Candidates!$D$1:$D$500,K328))</f>
        <v/>
      </c>
      <c r="D328" s="85" t="str">
        <f aca="false">IF(A328="","",L328)</f>
        <v/>
      </c>
      <c r="E328" s="85" t="str">
        <f aca="false">IF(A328="","",INDEX($O$2:$O$8,L328))</f>
        <v/>
      </c>
      <c r="F328" s="85" t="str">
        <f aca="false">IF(A328="","",IF(ISNUMBER(INDEX(Candidates!$A$1:$Z$500,K328,INDEX($P$2:$P$8,L328))),INDEX(Candidates!$A$1:$Z$500,K328,INDEX($P$2:$P$8,L328)),""))</f>
        <v/>
      </c>
      <c r="G328" s="85" t="str">
        <f aca="false">IF(A328="","",INDEX($Q$2:$Q$8,L328))</f>
        <v/>
      </c>
      <c r="H328" s="85" t="str">
        <f aca="false">IF(A328="","",IF(F328="","Not yet scored",IF(F328&gt;=G328,"Pass","Fail")))</f>
        <v/>
      </c>
      <c r="I328" s="85" t="str">
        <f aca="false">IF(A328="","",INDEX(Candidates!$B$1:$B$500,K328))</f>
        <v/>
      </c>
      <c r="K328" s="86" t="n">
        <f aca="false">INT((ROW()-2)/7)+2</f>
        <v>48</v>
      </c>
      <c r="L328" s="86" t="n">
        <f aca="false">MOD(ROW()-2,7)+1</f>
        <v>5</v>
      </c>
    </row>
    <row r="329" customFormat="false" ht="15" hidden="false" customHeight="false" outlineLevel="0" collapsed="false">
      <c r="A329" s="85" t="str">
        <f aca="false">IF(INDEX(Candidates!$A$1:$A$500,K329)="","",INDEX(Candidates!$A$1:$A$500,K329))</f>
        <v/>
      </c>
      <c r="B329" s="85" t="str">
        <f aca="false">IF(A329="","",INDEX(Candidates!$C$1:$C$500,K329))</f>
        <v/>
      </c>
      <c r="C329" s="85" t="str">
        <f aca="false">IF(A329="","",INDEX(Candidates!$D$1:$D$500,K329))</f>
        <v/>
      </c>
      <c r="D329" s="85" t="str">
        <f aca="false">IF(A329="","",L329)</f>
        <v/>
      </c>
      <c r="E329" s="85" t="str">
        <f aca="false">IF(A329="","",INDEX($O$2:$O$8,L329))</f>
        <v/>
      </c>
      <c r="F329" s="85" t="str">
        <f aca="false">IF(A329="","",IF(ISNUMBER(INDEX(Candidates!$A$1:$Z$500,K329,INDEX($P$2:$P$8,L329))),INDEX(Candidates!$A$1:$Z$500,K329,INDEX($P$2:$P$8,L329)),""))</f>
        <v/>
      </c>
      <c r="G329" s="85" t="str">
        <f aca="false">IF(A329="","",INDEX($Q$2:$Q$8,L329))</f>
        <v/>
      </c>
      <c r="H329" s="85" t="str">
        <f aca="false">IF(A329="","",IF(F329="","Not yet scored",IF(F329&gt;=G329,"Pass","Fail")))</f>
        <v/>
      </c>
      <c r="I329" s="85" t="str">
        <f aca="false">IF(A329="","",INDEX(Candidates!$B$1:$B$500,K329))</f>
        <v/>
      </c>
      <c r="K329" s="86" t="n">
        <f aca="false">INT((ROW()-2)/7)+2</f>
        <v>48</v>
      </c>
      <c r="L329" s="86" t="n">
        <f aca="false">MOD(ROW()-2,7)+1</f>
        <v>6</v>
      </c>
    </row>
    <row r="330" customFormat="false" ht="15" hidden="false" customHeight="false" outlineLevel="0" collapsed="false">
      <c r="A330" s="85" t="str">
        <f aca="false">IF(INDEX(Candidates!$A$1:$A$500,K330)="","",INDEX(Candidates!$A$1:$A$500,K330))</f>
        <v/>
      </c>
      <c r="B330" s="85" t="str">
        <f aca="false">IF(A330="","",INDEX(Candidates!$C$1:$C$500,K330))</f>
        <v/>
      </c>
      <c r="C330" s="85" t="str">
        <f aca="false">IF(A330="","",INDEX(Candidates!$D$1:$D$500,K330))</f>
        <v/>
      </c>
      <c r="D330" s="85" t="str">
        <f aca="false">IF(A330="","",L330)</f>
        <v/>
      </c>
      <c r="E330" s="85" t="str">
        <f aca="false">IF(A330="","",INDEX($O$2:$O$8,L330))</f>
        <v/>
      </c>
      <c r="F330" s="85" t="str">
        <f aca="false">IF(A330="","",IF(ISNUMBER(INDEX(Candidates!$A$1:$Z$500,K330,INDEX($P$2:$P$8,L330))),INDEX(Candidates!$A$1:$Z$500,K330,INDEX($P$2:$P$8,L330)),""))</f>
        <v/>
      </c>
      <c r="G330" s="85" t="str">
        <f aca="false">IF(A330="","",INDEX($Q$2:$Q$8,L330))</f>
        <v/>
      </c>
      <c r="H330" s="85" t="str">
        <f aca="false">IF(A330="","",IF(F330="","Not yet scored",IF(F330&gt;=G330,"Pass","Fail")))</f>
        <v/>
      </c>
      <c r="I330" s="85" t="str">
        <f aca="false">IF(A330="","",INDEX(Candidates!$B$1:$B$500,K330))</f>
        <v/>
      </c>
      <c r="K330" s="86" t="n">
        <f aca="false">INT((ROW()-2)/7)+2</f>
        <v>48</v>
      </c>
      <c r="L330" s="86" t="n">
        <f aca="false">MOD(ROW()-2,7)+1</f>
        <v>7</v>
      </c>
    </row>
    <row r="331" customFormat="false" ht="15" hidden="false" customHeight="false" outlineLevel="0" collapsed="false">
      <c r="A331" s="85" t="str">
        <f aca="false">IF(INDEX(Candidates!$A$1:$A$500,K331)="","",INDEX(Candidates!$A$1:$A$500,K331))</f>
        <v/>
      </c>
      <c r="B331" s="85" t="str">
        <f aca="false">IF(A331="","",INDEX(Candidates!$C$1:$C$500,K331))</f>
        <v/>
      </c>
      <c r="C331" s="85" t="str">
        <f aca="false">IF(A331="","",INDEX(Candidates!$D$1:$D$500,K331))</f>
        <v/>
      </c>
      <c r="D331" s="85" t="str">
        <f aca="false">IF(A331="","",L331)</f>
        <v/>
      </c>
      <c r="E331" s="85" t="str">
        <f aca="false">IF(A331="","",INDEX($O$2:$O$8,L331))</f>
        <v/>
      </c>
      <c r="F331" s="85" t="str">
        <f aca="false">IF(A331="","",IF(ISNUMBER(INDEX(Candidates!$A$1:$Z$500,K331,INDEX($P$2:$P$8,L331))),INDEX(Candidates!$A$1:$Z$500,K331,INDEX($P$2:$P$8,L331)),""))</f>
        <v/>
      </c>
      <c r="G331" s="85" t="str">
        <f aca="false">IF(A331="","",INDEX($Q$2:$Q$8,L331))</f>
        <v/>
      </c>
      <c r="H331" s="85" t="str">
        <f aca="false">IF(A331="","",IF(F331="","Not yet scored",IF(F331&gt;=G331,"Pass","Fail")))</f>
        <v/>
      </c>
      <c r="I331" s="85" t="str">
        <f aca="false">IF(A331="","",INDEX(Candidates!$B$1:$B$500,K331))</f>
        <v/>
      </c>
      <c r="K331" s="86" t="n">
        <f aca="false">INT((ROW()-2)/7)+2</f>
        <v>49</v>
      </c>
      <c r="L331" s="86" t="n">
        <f aca="false">MOD(ROW()-2,7)+1</f>
        <v>1</v>
      </c>
    </row>
    <row r="332" customFormat="false" ht="15" hidden="false" customHeight="false" outlineLevel="0" collapsed="false">
      <c r="A332" s="85" t="str">
        <f aca="false">IF(INDEX(Candidates!$A$1:$A$500,K332)="","",INDEX(Candidates!$A$1:$A$500,K332))</f>
        <v/>
      </c>
      <c r="B332" s="85" t="str">
        <f aca="false">IF(A332="","",INDEX(Candidates!$C$1:$C$500,K332))</f>
        <v/>
      </c>
      <c r="C332" s="85" t="str">
        <f aca="false">IF(A332="","",INDEX(Candidates!$D$1:$D$500,K332))</f>
        <v/>
      </c>
      <c r="D332" s="85" t="str">
        <f aca="false">IF(A332="","",L332)</f>
        <v/>
      </c>
      <c r="E332" s="85" t="str">
        <f aca="false">IF(A332="","",INDEX($O$2:$O$8,L332))</f>
        <v/>
      </c>
      <c r="F332" s="85" t="str">
        <f aca="false">IF(A332="","",IF(ISNUMBER(INDEX(Candidates!$A$1:$Z$500,K332,INDEX($P$2:$P$8,L332))),INDEX(Candidates!$A$1:$Z$500,K332,INDEX($P$2:$P$8,L332)),""))</f>
        <v/>
      </c>
      <c r="G332" s="85" t="str">
        <f aca="false">IF(A332="","",INDEX($Q$2:$Q$8,L332))</f>
        <v/>
      </c>
      <c r="H332" s="85" t="str">
        <f aca="false">IF(A332="","",IF(F332="","Not yet scored",IF(F332&gt;=G332,"Pass","Fail")))</f>
        <v/>
      </c>
      <c r="I332" s="85" t="str">
        <f aca="false">IF(A332="","",INDEX(Candidates!$B$1:$B$500,K332))</f>
        <v/>
      </c>
      <c r="K332" s="86" t="n">
        <f aca="false">INT((ROW()-2)/7)+2</f>
        <v>49</v>
      </c>
      <c r="L332" s="86" t="n">
        <f aca="false">MOD(ROW()-2,7)+1</f>
        <v>2</v>
      </c>
    </row>
    <row r="333" customFormat="false" ht="15" hidden="false" customHeight="false" outlineLevel="0" collapsed="false">
      <c r="A333" s="85" t="str">
        <f aca="false">IF(INDEX(Candidates!$A$1:$A$500,K333)="","",INDEX(Candidates!$A$1:$A$500,K333))</f>
        <v/>
      </c>
      <c r="B333" s="85" t="str">
        <f aca="false">IF(A333="","",INDEX(Candidates!$C$1:$C$500,K333))</f>
        <v/>
      </c>
      <c r="C333" s="85" t="str">
        <f aca="false">IF(A333="","",INDEX(Candidates!$D$1:$D$500,K333))</f>
        <v/>
      </c>
      <c r="D333" s="85" t="str">
        <f aca="false">IF(A333="","",L333)</f>
        <v/>
      </c>
      <c r="E333" s="85" t="str">
        <f aca="false">IF(A333="","",INDEX($O$2:$O$8,L333))</f>
        <v/>
      </c>
      <c r="F333" s="85" t="str">
        <f aca="false">IF(A333="","",IF(ISNUMBER(INDEX(Candidates!$A$1:$Z$500,K333,INDEX($P$2:$P$8,L333))),INDEX(Candidates!$A$1:$Z$500,K333,INDEX($P$2:$P$8,L333)),""))</f>
        <v/>
      </c>
      <c r="G333" s="85" t="str">
        <f aca="false">IF(A333="","",INDEX($Q$2:$Q$8,L333))</f>
        <v/>
      </c>
      <c r="H333" s="85" t="str">
        <f aca="false">IF(A333="","",IF(F333="","Not yet scored",IF(F333&gt;=G333,"Pass","Fail")))</f>
        <v/>
      </c>
      <c r="I333" s="85" t="str">
        <f aca="false">IF(A333="","",INDEX(Candidates!$B$1:$B$500,K333))</f>
        <v/>
      </c>
      <c r="K333" s="86" t="n">
        <f aca="false">INT((ROW()-2)/7)+2</f>
        <v>49</v>
      </c>
      <c r="L333" s="86" t="n">
        <f aca="false">MOD(ROW()-2,7)+1</f>
        <v>3</v>
      </c>
    </row>
    <row r="334" customFormat="false" ht="15" hidden="false" customHeight="false" outlineLevel="0" collapsed="false">
      <c r="A334" s="85" t="str">
        <f aca="false">IF(INDEX(Candidates!$A$1:$A$500,K334)="","",INDEX(Candidates!$A$1:$A$500,K334))</f>
        <v/>
      </c>
      <c r="B334" s="85" t="str">
        <f aca="false">IF(A334="","",INDEX(Candidates!$C$1:$C$500,K334))</f>
        <v/>
      </c>
      <c r="C334" s="85" t="str">
        <f aca="false">IF(A334="","",INDEX(Candidates!$D$1:$D$500,K334))</f>
        <v/>
      </c>
      <c r="D334" s="85" t="str">
        <f aca="false">IF(A334="","",L334)</f>
        <v/>
      </c>
      <c r="E334" s="85" t="str">
        <f aca="false">IF(A334="","",INDEX($O$2:$O$8,L334))</f>
        <v/>
      </c>
      <c r="F334" s="85" t="str">
        <f aca="false">IF(A334="","",IF(ISNUMBER(INDEX(Candidates!$A$1:$Z$500,K334,INDEX($P$2:$P$8,L334))),INDEX(Candidates!$A$1:$Z$500,K334,INDEX($P$2:$P$8,L334)),""))</f>
        <v/>
      </c>
      <c r="G334" s="85" t="str">
        <f aca="false">IF(A334="","",INDEX($Q$2:$Q$8,L334))</f>
        <v/>
      </c>
      <c r="H334" s="85" t="str">
        <f aca="false">IF(A334="","",IF(F334="","Not yet scored",IF(F334&gt;=G334,"Pass","Fail")))</f>
        <v/>
      </c>
      <c r="I334" s="85" t="str">
        <f aca="false">IF(A334="","",INDEX(Candidates!$B$1:$B$500,K334))</f>
        <v/>
      </c>
      <c r="K334" s="86" t="n">
        <f aca="false">INT((ROW()-2)/7)+2</f>
        <v>49</v>
      </c>
      <c r="L334" s="86" t="n">
        <f aca="false">MOD(ROW()-2,7)+1</f>
        <v>4</v>
      </c>
    </row>
    <row r="335" customFormat="false" ht="15" hidden="false" customHeight="false" outlineLevel="0" collapsed="false">
      <c r="A335" s="85" t="str">
        <f aca="false">IF(INDEX(Candidates!$A$1:$A$500,K335)="","",INDEX(Candidates!$A$1:$A$500,K335))</f>
        <v/>
      </c>
      <c r="B335" s="85" t="str">
        <f aca="false">IF(A335="","",INDEX(Candidates!$C$1:$C$500,K335))</f>
        <v/>
      </c>
      <c r="C335" s="85" t="str">
        <f aca="false">IF(A335="","",INDEX(Candidates!$D$1:$D$500,K335))</f>
        <v/>
      </c>
      <c r="D335" s="85" t="str">
        <f aca="false">IF(A335="","",L335)</f>
        <v/>
      </c>
      <c r="E335" s="85" t="str">
        <f aca="false">IF(A335="","",INDEX($O$2:$O$8,L335))</f>
        <v/>
      </c>
      <c r="F335" s="85" t="str">
        <f aca="false">IF(A335="","",IF(ISNUMBER(INDEX(Candidates!$A$1:$Z$500,K335,INDEX($P$2:$P$8,L335))),INDEX(Candidates!$A$1:$Z$500,K335,INDEX($P$2:$P$8,L335)),""))</f>
        <v/>
      </c>
      <c r="G335" s="85" t="str">
        <f aca="false">IF(A335="","",INDEX($Q$2:$Q$8,L335))</f>
        <v/>
      </c>
      <c r="H335" s="85" t="str">
        <f aca="false">IF(A335="","",IF(F335="","Not yet scored",IF(F335&gt;=G335,"Pass","Fail")))</f>
        <v/>
      </c>
      <c r="I335" s="85" t="str">
        <f aca="false">IF(A335="","",INDEX(Candidates!$B$1:$B$500,K335))</f>
        <v/>
      </c>
      <c r="K335" s="86" t="n">
        <f aca="false">INT((ROW()-2)/7)+2</f>
        <v>49</v>
      </c>
      <c r="L335" s="86" t="n">
        <f aca="false">MOD(ROW()-2,7)+1</f>
        <v>5</v>
      </c>
    </row>
    <row r="336" customFormat="false" ht="15" hidden="false" customHeight="false" outlineLevel="0" collapsed="false">
      <c r="A336" s="85" t="str">
        <f aca="false">IF(INDEX(Candidates!$A$1:$A$500,K336)="","",INDEX(Candidates!$A$1:$A$500,K336))</f>
        <v/>
      </c>
      <c r="B336" s="85" t="str">
        <f aca="false">IF(A336="","",INDEX(Candidates!$C$1:$C$500,K336))</f>
        <v/>
      </c>
      <c r="C336" s="85" t="str">
        <f aca="false">IF(A336="","",INDEX(Candidates!$D$1:$D$500,K336))</f>
        <v/>
      </c>
      <c r="D336" s="85" t="str">
        <f aca="false">IF(A336="","",L336)</f>
        <v/>
      </c>
      <c r="E336" s="85" t="str">
        <f aca="false">IF(A336="","",INDEX($O$2:$O$8,L336))</f>
        <v/>
      </c>
      <c r="F336" s="85" t="str">
        <f aca="false">IF(A336="","",IF(ISNUMBER(INDEX(Candidates!$A$1:$Z$500,K336,INDEX($P$2:$P$8,L336))),INDEX(Candidates!$A$1:$Z$500,K336,INDEX($P$2:$P$8,L336)),""))</f>
        <v/>
      </c>
      <c r="G336" s="85" t="str">
        <f aca="false">IF(A336="","",INDEX($Q$2:$Q$8,L336))</f>
        <v/>
      </c>
      <c r="H336" s="85" t="str">
        <f aca="false">IF(A336="","",IF(F336="","Not yet scored",IF(F336&gt;=G336,"Pass","Fail")))</f>
        <v/>
      </c>
      <c r="I336" s="85" t="str">
        <f aca="false">IF(A336="","",INDEX(Candidates!$B$1:$B$500,K336))</f>
        <v/>
      </c>
      <c r="K336" s="86" t="n">
        <f aca="false">INT((ROW()-2)/7)+2</f>
        <v>49</v>
      </c>
      <c r="L336" s="86" t="n">
        <f aca="false">MOD(ROW()-2,7)+1</f>
        <v>6</v>
      </c>
    </row>
    <row r="337" customFormat="false" ht="15" hidden="false" customHeight="false" outlineLevel="0" collapsed="false">
      <c r="A337" s="85" t="str">
        <f aca="false">IF(INDEX(Candidates!$A$1:$A$500,K337)="","",INDEX(Candidates!$A$1:$A$500,K337))</f>
        <v/>
      </c>
      <c r="B337" s="85" t="str">
        <f aca="false">IF(A337="","",INDEX(Candidates!$C$1:$C$500,K337))</f>
        <v/>
      </c>
      <c r="C337" s="85" t="str">
        <f aca="false">IF(A337="","",INDEX(Candidates!$D$1:$D$500,K337))</f>
        <v/>
      </c>
      <c r="D337" s="85" t="str">
        <f aca="false">IF(A337="","",L337)</f>
        <v/>
      </c>
      <c r="E337" s="85" t="str">
        <f aca="false">IF(A337="","",INDEX($O$2:$O$8,L337))</f>
        <v/>
      </c>
      <c r="F337" s="85" t="str">
        <f aca="false">IF(A337="","",IF(ISNUMBER(INDEX(Candidates!$A$1:$Z$500,K337,INDEX($P$2:$P$8,L337))),INDEX(Candidates!$A$1:$Z$500,K337,INDEX($P$2:$P$8,L337)),""))</f>
        <v/>
      </c>
      <c r="G337" s="85" t="str">
        <f aca="false">IF(A337="","",INDEX($Q$2:$Q$8,L337))</f>
        <v/>
      </c>
      <c r="H337" s="85" t="str">
        <f aca="false">IF(A337="","",IF(F337="","Not yet scored",IF(F337&gt;=G337,"Pass","Fail")))</f>
        <v/>
      </c>
      <c r="I337" s="85" t="str">
        <f aca="false">IF(A337="","",INDEX(Candidates!$B$1:$B$500,K337))</f>
        <v/>
      </c>
      <c r="K337" s="86" t="n">
        <f aca="false">INT((ROW()-2)/7)+2</f>
        <v>49</v>
      </c>
      <c r="L337" s="86" t="n">
        <f aca="false">MOD(ROW()-2,7)+1</f>
        <v>7</v>
      </c>
    </row>
    <row r="338" customFormat="false" ht="15" hidden="false" customHeight="false" outlineLevel="0" collapsed="false">
      <c r="A338" s="85" t="str">
        <f aca="false">IF(INDEX(Candidates!$A$1:$A$500,K338)="","",INDEX(Candidates!$A$1:$A$500,K338))</f>
        <v/>
      </c>
      <c r="B338" s="85" t="str">
        <f aca="false">IF(A338="","",INDEX(Candidates!$C$1:$C$500,K338))</f>
        <v/>
      </c>
      <c r="C338" s="85" t="str">
        <f aca="false">IF(A338="","",INDEX(Candidates!$D$1:$D$500,K338))</f>
        <v/>
      </c>
      <c r="D338" s="85" t="str">
        <f aca="false">IF(A338="","",L338)</f>
        <v/>
      </c>
      <c r="E338" s="85" t="str">
        <f aca="false">IF(A338="","",INDEX($O$2:$O$8,L338))</f>
        <v/>
      </c>
      <c r="F338" s="85" t="str">
        <f aca="false">IF(A338="","",IF(ISNUMBER(INDEX(Candidates!$A$1:$Z$500,K338,INDEX($P$2:$P$8,L338))),INDEX(Candidates!$A$1:$Z$500,K338,INDEX($P$2:$P$8,L338)),""))</f>
        <v/>
      </c>
      <c r="G338" s="85" t="str">
        <f aca="false">IF(A338="","",INDEX($Q$2:$Q$8,L338))</f>
        <v/>
      </c>
      <c r="H338" s="85" t="str">
        <f aca="false">IF(A338="","",IF(F338="","Not yet scored",IF(F338&gt;=G338,"Pass","Fail")))</f>
        <v/>
      </c>
      <c r="I338" s="85" t="str">
        <f aca="false">IF(A338="","",INDEX(Candidates!$B$1:$B$500,K338))</f>
        <v/>
      </c>
      <c r="K338" s="86" t="n">
        <f aca="false">INT((ROW()-2)/7)+2</f>
        <v>50</v>
      </c>
      <c r="L338" s="86" t="n">
        <f aca="false">MOD(ROW()-2,7)+1</f>
        <v>1</v>
      </c>
    </row>
    <row r="339" customFormat="false" ht="15" hidden="false" customHeight="false" outlineLevel="0" collapsed="false">
      <c r="A339" s="85" t="str">
        <f aca="false">IF(INDEX(Candidates!$A$1:$A$500,K339)="","",INDEX(Candidates!$A$1:$A$500,K339))</f>
        <v/>
      </c>
      <c r="B339" s="85" t="str">
        <f aca="false">IF(A339="","",INDEX(Candidates!$C$1:$C$500,K339))</f>
        <v/>
      </c>
      <c r="C339" s="85" t="str">
        <f aca="false">IF(A339="","",INDEX(Candidates!$D$1:$D$500,K339))</f>
        <v/>
      </c>
      <c r="D339" s="85" t="str">
        <f aca="false">IF(A339="","",L339)</f>
        <v/>
      </c>
      <c r="E339" s="85" t="str">
        <f aca="false">IF(A339="","",INDEX($O$2:$O$8,L339))</f>
        <v/>
      </c>
      <c r="F339" s="85" t="str">
        <f aca="false">IF(A339="","",IF(ISNUMBER(INDEX(Candidates!$A$1:$Z$500,K339,INDEX($P$2:$P$8,L339))),INDEX(Candidates!$A$1:$Z$500,K339,INDEX($P$2:$P$8,L339)),""))</f>
        <v/>
      </c>
      <c r="G339" s="85" t="str">
        <f aca="false">IF(A339="","",INDEX($Q$2:$Q$8,L339))</f>
        <v/>
      </c>
      <c r="H339" s="85" t="str">
        <f aca="false">IF(A339="","",IF(F339="","Not yet scored",IF(F339&gt;=G339,"Pass","Fail")))</f>
        <v/>
      </c>
      <c r="I339" s="85" t="str">
        <f aca="false">IF(A339="","",INDEX(Candidates!$B$1:$B$500,K339))</f>
        <v/>
      </c>
      <c r="K339" s="86" t="n">
        <f aca="false">INT((ROW()-2)/7)+2</f>
        <v>50</v>
      </c>
      <c r="L339" s="86" t="n">
        <f aca="false">MOD(ROW()-2,7)+1</f>
        <v>2</v>
      </c>
    </row>
    <row r="340" customFormat="false" ht="15" hidden="false" customHeight="false" outlineLevel="0" collapsed="false">
      <c r="A340" s="85" t="str">
        <f aca="false">IF(INDEX(Candidates!$A$1:$A$500,K340)="","",INDEX(Candidates!$A$1:$A$500,K340))</f>
        <v/>
      </c>
      <c r="B340" s="85" t="str">
        <f aca="false">IF(A340="","",INDEX(Candidates!$C$1:$C$500,K340))</f>
        <v/>
      </c>
      <c r="C340" s="85" t="str">
        <f aca="false">IF(A340="","",INDEX(Candidates!$D$1:$D$500,K340))</f>
        <v/>
      </c>
      <c r="D340" s="85" t="str">
        <f aca="false">IF(A340="","",L340)</f>
        <v/>
      </c>
      <c r="E340" s="85" t="str">
        <f aca="false">IF(A340="","",INDEX($O$2:$O$8,L340))</f>
        <v/>
      </c>
      <c r="F340" s="85" t="str">
        <f aca="false">IF(A340="","",IF(ISNUMBER(INDEX(Candidates!$A$1:$Z$500,K340,INDEX($P$2:$P$8,L340))),INDEX(Candidates!$A$1:$Z$500,K340,INDEX($P$2:$P$8,L340)),""))</f>
        <v/>
      </c>
      <c r="G340" s="85" t="str">
        <f aca="false">IF(A340="","",INDEX($Q$2:$Q$8,L340))</f>
        <v/>
      </c>
      <c r="H340" s="85" t="str">
        <f aca="false">IF(A340="","",IF(F340="","Not yet scored",IF(F340&gt;=G340,"Pass","Fail")))</f>
        <v/>
      </c>
      <c r="I340" s="85" t="str">
        <f aca="false">IF(A340="","",INDEX(Candidates!$B$1:$B$500,K340))</f>
        <v/>
      </c>
      <c r="K340" s="86" t="n">
        <f aca="false">INT((ROW()-2)/7)+2</f>
        <v>50</v>
      </c>
      <c r="L340" s="86" t="n">
        <f aca="false">MOD(ROW()-2,7)+1</f>
        <v>3</v>
      </c>
    </row>
    <row r="341" customFormat="false" ht="15" hidden="false" customHeight="false" outlineLevel="0" collapsed="false">
      <c r="A341" s="85" t="str">
        <f aca="false">IF(INDEX(Candidates!$A$1:$A$500,K341)="","",INDEX(Candidates!$A$1:$A$500,K341))</f>
        <v/>
      </c>
      <c r="B341" s="85" t="str">
        <f aca="false">IF(A341="","",INDEX(Candidates!$C$1:$C$500,K341))</f>
        <v/>
      </c>
      <c r="C341" s="85" t="str">
        <f aca="false">IF(A341="","",INDEX(Candidates!$D$1:$D$500,K341))</f>
        <v/>
      </c>
      <c r="D341" s="85" t="str">
        <f aca="false">IF(A341="","",L341)</f>
        <v/>
      </c>
      <c r="E341" s="85" t="str">
        <f aca="false">IF(A341="","",INDEX($O$2:$O$8,L341))</f>
        <v/>
      </c>
      <c r="F341" s="85" t="str">
        <f aca="false">IF(A341="","",IF(ISNUMBER(INDEX(Candidates!$A$1:$Z$500,K341,INDEX($P$2:$P$8,L341))),INDEX(Candidates!$A$1:$Z$500,K341,INDEX($P$2:$P$8,L341)),""))</f>
        <v/>
      </c>
      <c r="G341" s="85" t="str">
        <f aca="false">IF(A341="","",INDEX($Q$2:$Q$8,L341))</f>
        <v/>
      </c>
      <c r="H341" s="85" t="str">
        <f aca="false">IF(A341="","",IF(F341="","Not yet scored",IF(F341&gt;=G341,"Pass","Fail")))</f>
        <v/>
      </c>
      <c r="I341" s="85" t="str">
        <f aca="false">IF(A341="","",INDEX(Candidates!$B$1:$B$500,K341))</f>
        <v/>
      </c>
      <c r="K341" s="86" t="n">
        <f aca="false">INT((ROW()-2)/7)+2</f>
        <v>50</v>
      </c>
      <c r="L341" s="86" t="n">
        <f aca="false">MOD(ROW()-2,7)+1</f>
        <v>4</v>
      </c>
    </row>
    <row r="342" customFormat="false" ht="15" hidden="false" customHeight="false" outlineLevel="0" collapsed="false">
      <c r="A342" s="85" t="str">
        <f aca="false">IF(INDEX(Candidates!$A$1:$A$500,K342)="","",INDEX(Candidates!$A$1:$A$500,K342))</f>
        <v/>
      </c>
      <c r="B342" s="85" t="str">
        <f aca="false">IF(A342="","",INDEX(Candidates!$C$1:$C$500,K342))</f>
        <v/>
      </c>
      <c r="C342" s="85" t="str">
        <f aca="false">IF(A342="","",INDEX(Candidates!$D$1:$D$500,K342))</f>
        <v/>
      </c>
      <c r="D342" s="85" t="str">
        <f aca="false">IF(A342="","",L342)</f>
        <v/>
      </c>
      <c r="E342" s="85" t="str">
        <f aca="false">IF(A342="","",INDEX($O$2:$O$8,L342))</f>
        <v/>
      </c>
      <c r="F342" s="85" t="str">
        <f aca="false">IF(A342="","",IF(ISNUMBER(INDEX(Candidates!$A$1:$Z$500,K342,INDEX($P$2:$P$8,L342))),INDEX(Candidates!$A$1:$Z$500,K342,INDEX($P$2:$P$8,L342)),""))</f>
        <v/>
      </c>
      <c r="G342" s="85" t="str">
        <f aca="false">IF(A342="","",INDEX($Q$2:$Q$8,L342))</f>
        <v/>
      </c>
      <c r="H342" s="85" t="str">
        <f aca="false">IF(A342="","",IF(F342="","Not yet scored",IF(F342&gt;=G342,"Pass","Fail")))</f>
        <v/>
      </c>
      <c r="I342" s="85" t="str">
        <f aca="false">IF(A342="","",INDEX(Candidates!$B$1:$B$500,K342))</f>
        <v/>
      </c>
      <c r="K342" s="86" t="n">
        <f aca="false">INT((ROW()-2)/7)+2</f>
        <v>50</v>
      </c>
      <c r="L342" s="86" t="n">
        <f aca="false">MOD(ROW()-2,7)+1</f>
        <v>5</v>
      </c>
    </row>
    <row r="343" customFormat="false" ht="15" hidden="false" customHeight="false" outlineLevel="0" collapsed="false">
      <c r="A343" s="85" t="str">
        <f aca="false">IF(INDEX(Candidates!$A$1:$A$500,K343)="","",INDEX(Candidates!$A$1:$A$500,K343))</f>
        <v/>
      </c>
      <c r="B343" s="85" t="str">
        <f aca="false">IF(A343="","",INDEX(Candidates!$C$1:$C$500,K343))</f>
        <v/>
      </c>
      <c r="C343" s="85" t="str">
        <f aca="false">IF(A343="","",INDEX(Candidates!$D$1:$D$500,K343))</f>
        <v/>
      </c>
      <c r="D343" s="85" t="str">
        <f aca="false">IF(A343="","",L343)</f>
        <v/>
      </c>
      <c r="E343" s="85" t="str">
        <f aca="false">IF(A343="","",INDEX($O$2:$O$8,L343))</f>
        <v/>
      </c>
      <c r="F343" s="85" t="str">
        <f aca="false">IF(A343="","",IF(ISNUMBER(INDEX(Candidates!$A$1:$Z$500,K343,INDEX($P$2:$P$8,L343))),INDEX(Candidates!$A$1:$Z$500,K343,INDEX($P$2:$P$8,L343)),""))</f>
        <v/>
      </c>
      <c r="G343" s="85" t="str">
        <f aca="false">IF(A343="","",INDEX($Q$2:$Q$8,L343))</f>
        <v/>
      </c>
      <c r="H343" s="85" t="str">
        <f aca="false">IF(A343="","",IF(F343="","Not yet scored",IF(F343&gt;=G343,"Pass","Fail")))</f>
        <v/>
      </c>
      <c r="I343" s="85" t="str">
        <f aca="false">IF(A343="","",INDEX(Candidates!$B$1:$B$500,K343))</f>
        <v/>
      </c>
      <c r="K343" s="86" t="n">
        <f aca="false">INT((ROW()-2)/7)+2</f>
        <v>50</v>
      </c>
      <c r="L343" s="86" t="n">
        <f aca="false">MOD(ROW()-2,7)+1</f>
        <v>6</v>
      </c>
    </row>
    <row r="344" customFormat="false" ht="15" hidden="false" customHeight="false" outlineLevel="0" collapsed="false">
      <c r="A344" s="85" t="str">
        <f aca="false">IF(INDEX(Candidates!$A$1:$A$500,K344)="","",INDEX(Candidates!$A$1:$A$500,K344))</f>
        <v/>
      </c>
      <c r="B344" s="85" t="str">
        <f aca="false">IF(A344="","",INDEX(Candidates!$C$1:$C$500,K344))</f>
        <v/>
      </c>
      <c r="C344" s="85" t="str">
        <f aca="false">IF(A344="","",INDEX(Candidates!$D$1:$D$500,K344))</f>
        <v/>
      </c>
      <c r="D344" s="85" t="str">
        <f aca="false">IF(A344="","",L344)</f>
        <v/>
      </c>
      <c r="E344" s="85" t="str">
        <f aca="false">IF(A344="","",INDEX($O$2:$O$8,L344))</f>
        <v/>
      </c>
      <c r="F344" s="85" t="str">
        <f aca="false">IF(A344="","",IF(ISNUMBER(INDEX(Candidates!$A$1:$Z$500,K344,INDEX($P$2:$P$8,L344))),INDEX(Candidates!$A$1:$Z$500,K344,INDEX($P$2:$P$8,L344)),""))</f>
        <v/>
      </c>
      <c r="G344" s="85" t="str">
        <f aca="false">IF(A344="","",INDEX($Q$2:$Q$8,L344))</f>
        <v/>
      </c>
      <c r="H344" s="85" t="str">
        <f aca="false">IF(A344="","",IF(F344="","Not yet scored",IF(F344&gt;=G344,"Pass","Fail")))</f>
        <v/>
      </c>
      <c r="I344" s="85" t="str">
        <f aca="false">IF(A344="","",INDEX(Candidates!$B$1:$B$500,K344))</f>
        <v/>
      </c>
      <c r="K344" s="86" t="n">
        <f aca="false">INT((ROW()-2)/7)+2</f>
        <v>50</v>
      </c>
      <c r="L344" s="86" t="n">
        <f aca="false">MOD(ROW()-2,7)+1</f>
        <v>7</v>
      </c>
    </row>
    <row r="345" customFormat="false" ht="15" hidden="false" customHeight="false" outlineLevel="0" collapsed="false">
      <c r="A345" s="85" t="str">
        <f aca="false">IF(INDEX(Candidates!$A$1:$A$500,K345)="","",INDEX(Candidates!$A$1:$A$500,K345))</f>
        <v/>
      </c>
      <c r="B345" s="85" t="str">
        <f aca="false">IF(A345="","",INDEX(Candidates!$C$1:$C$500,K345))</f>
        <v/>
      </c>
      <c r="C345" s="85" t="str">
        <f aca="false">IF(A345="","",INDEX(Candidates!$D$1:$D$500,K345))</f>
        <v/>
      </c>
      <c r="D345" s="85" t="str">
        <f aca="false">IF(A345="","",L345)</f>
        <v/>
      </c>
      <c r="E345" s="85" t="str">
        <f aca="false">IF(A345="","",INDEX($O$2:$O$8,L345))</f>
        <v/>
      </c>
      <c r="F345" s="85" t="str">
        <f aca="false">IF(A345="","",IF(ISNUMBER(INDEX(Candidates!$A$1:$Z$500,K345,INDEX($P$2:$P$8,L345))),INDEX(Candidates!$A$1:$Z$500,K345,INDEX($P$2:$P$8,L345)),""))</f>
        <v/>
      </c>
      <c r="G345" s="85" t="str">
        <f aca="false">IF(A345="","",INDEX($Q$2:$Q$8,L345))</f>
        <v/>
      </c>
      <c r="H345" s="85" t="str">
        <f aca="false">IF(A345="","",IF(F345="","Not yet scored",IF(F345&gt;=G345,"Pass","Fail")))</f>
        <v/>
      </c>
      <c r="I345" s="85" t="str">
        <f aca="false">IF(A345="","",INDEX(Candidates!$B$1:$B$500,K345))</f>
        <v/>
      </c>
      <c r="K345" s="86" t="n">
        <f aca="false">INT((ROW()-2)/7)+2</f>
        <v>51</v>
      </c>
      <c r="L345" s="86" t="n">
        <f aca="false">MOD(ROW()-2,7)+1</f>
        <v>1</v>
      </c>
    </row>
    <row r="346" customFormat="false" ht="15" hidden="false" customHeight="false" outlineLevel="0" collapsed="false">
      <c r="A346" s="85" t="str">
        <f aca="false">IF(INDEX(Candidates!$A$1:$A$500,K346)="","",INDEX(Candidates!$A$1:$A$500,K346))</f>
        <v/>
      </c>
      <c r="B346" s="85" t="str">
        <f aca="false">IF(A346="","",INDEX(Candidates!$C$1:$C$500,K346))</f>
        <v/>
      </c>
      <c r="C346" s="85" t="str">
        <f aca="false">IF(A346="","",INDEX(Candidates!$D$1:$D$500,K346))</f>
        <v/>
      </c>
      <c r="D346" s="85" t="str">
        <f aca="false">IF(A346="","",L346)</f>
        <v/>
      </c>
      <c r="E346" s="85" t="str">
        <f aca="false">IF(A346="","",INDEX($O$2:$O$8,L346))</f>
        <v/>
      </c>
      <c r="F346" s="85" t="str">
        <f aca="false">IF(A346="","",IF(ISNUMBER(INDEX(Candidates!$A$1:$Z$500,K346,INDEX($P$2:$P$8,L346))),INDEX(Candidates!$A$1:$Z$500,K346,INDEX($P$2:$P$8,L346)),""))</f>
        <v/>
      </c>
      <c r="G346" s="85" t="str">
        <f aca="false">IF(A346="","",INDEX($Q$2:$Q$8,L346))</f>
        <v/>
      </c>
      <c r="H346" s="85" t="str">
        <f aca="false">IF(A346="","",IF(F346="","Not yet scored",IF(F346&gt;=G346,"Pass","Fail")))</f>
        <v/>
      </c>
      <c r="I346" s="85" t="str">
        <f aca="false">IF(A346="","",INDEX(Candidates!$B$1:$B$500,K346))</f>
        <v/>
      </c>
      <c r="K346" s="86" t="n">
        <f aca="false">INT((ROW()-2)/7)+2</f>
        <v>51</v>
      </c>
      <c r="L346" s="86" t="n">
        <f aca="false">MOD(ROW()-2,7)+1</f>
        <v>2</v>
      </c>
    </row>
    <row r="347" customFormat="false" ht="15" hidden="false" customHeight="false" outlineLevel="0" collapsed="false">
      <c r="A347" s="85" t="str">
        <f aca="false">IF(INDEX(Candidates!$A$1:$A$500,K347)="","",INDEX(Candidates!$A$1:$A$500,K347))</f>
        <v/>
      </c>
      <c r="B347" s="85" t="str">
        <f aca="false">IF(A347="","",INDEX(Candidates!$C$1:$C$500,K347))</f>
        <v/>
      </c>
      <c r="C347" s="85" t="str">
        <f aca="false">IF(A347="","",INDEX(Candidates!$D$1:$D$500,K347))</f>
        <v/>
      </c>
      <c r="D347" s="85" t="str">
        <f aca="false">IF(A347="","",L347)</f>
        <v/>
      </c>
      <c r="E347" s="85" t="str">
        <f aca="false">IF(A347="","",INDEX($O$2:$O$8,L347))</f>
        <v/>
      </c>
      <c r="F347" s="85" t="str">
        <f aca="false">IF(A347="","",IF(ISNUMBER(INDEX(Candidates!$A$1:$Z$500,K347,INDEX($P$2:$P$8,L347))),INDEX(Candidates!$A$1:$Z$500,K347,INDEX($P$2:$P$8,L347)),""))</f>
        <v/>
      </c>
      <c r="G347" s="85" t="str">
        <f aca="false">IF(A347="","",INDEX($Q$2:$Q$8,L347))</f>
        <v/>
      </c>
      <c r="H347" s="85" t="str">
        <f aca="false">IF(A347="","",IF(F347="","Not yet scored",IF(F347&gt;=G347,"Pass","Fail")))</f>
        <v/>
      </c>
      <c r="I347" s="85" t="str">
        <f aca="false">IF(A347="","",INDEX(Candidates!$B$1:$B$500,K347))</f>
        <v/>
      </c>
      <c r="K347" s="86" t="n">
        <f aca="false">INT((ROW()-2)/7)+2</f>
        <v>51</v>
      </c>
      <c r="L347" s="86" t="n">
        <f aca="false">MOD(ROW()-2,7)+1</f>
        <v>3</v>
      </c>
    </row>
    <row r="348" customFormat="false" ht="15" hidden="false" customHeight="false" outlineLevel="0" collapsed="false">
      <c r="A348" s="85" t="str">
        <f aca="false">IF(INDEX(Candidates!$A$1:$A$500,K348)="","",INDEX(Candidates!$A$1:$A$500,K348))</f>
        <v/>
      </c>
      <c r="B348" s="85" t="str">
        <f aca="false">IF(A348="","",INDEX(Candidates!$C$1:$C$500,K348))</f>
        <v/>
      </c>
      <c r="C348" s="85" t="str">
        <f aca="false">IF(A348="","",INDEX(Candidates!$D$1:$D$500,K348))</f>
        <v/>
      </c>
      <c r="D348" s="85" t="str">
        <f aca="false">IF(A348="","",L348)</f>
        <v/>
      </c>
      <c r="E348" s="85" t="str">
        <f aca="false">IF(A348="","",INDEX($O$2:$O$8,L348))</f>
        <v/>
      </c>
      <c r="F348" s="85" t="str">
        <f aca="false">IF(A348="","",IF(ISNUMBER(INDEX(Candidates!$A$1:$Z$500,K348,INDEX($P$2:$P$8,L348))),INDEX(Candidates!$A$1:$Z$500,K348,INDEX($P$2:$P$8,L348)),""))</f>
        <v/>
      </c>
      <c r="G348" s="85" t="str">
        <f aca="false">IF(A348="","",INDEX($Q$2:$Q$8,L348))</f>
        <v/>
      </c>
      <c r="H348" s="85" t="str">
        <f aca="false">IF(A348="","",IF(F348="","Not yet scored",IF(F348&gt;=G348,"Pass","Fail")))</f>
        <v/>
      </c>
      <c r="I348" s="85" t="str">
        <f aca="false">IF(A348="","",INDEX(Candidates!$B$1:$B$500,K348))</f>
        <v/>
      </c>
      <c r="K348" s="86" t="n">
        <f aca="false">INT((ROW()-2)/7)+2</f>
        <v>51</v>
      </c>
      <c r="L348" s="86" t="n">
        <f aca="false">MOD(ROW()-2,7)+1</f>
        <v>4</v>
      </c>
    </row>
    <row r="349" customFormat="false" ht="15" hidden="false" customHeight="false" outlineLevel="0" collapsed="false">
      <c r="A349" s="85" t="str">
        <f aca="false">IF(INDEX(Candidates!$A$1:$A$500,K349)="","",INDEX(Candidates!$A$1:$A$500,K349))</f>
        <v/>
      </c>
      <c r="B349" s="85" t="str">
        <f aca="false">IF(A349="","",INDEX(Candidates!$C$1:$C$500,K349))</f>
        <v/>
      </c>
      <c r="C349" s="85" t="str">
        <f aca="false">IF(A349="","",INDEX(Candidates!$D$1:$D$500,K349))</f>
        <v/>
      </c>
      <c r="D349" s="85" t="str">
        <f aca="false">IF(A349="","",L349)</f>
        <v/>
      </c>
      <c r="E349" s="85" t="str">
        <f aca="false">IF(A349="","",INDEX($O$2:$O$8,L349))</f>
        <v/>
      </c>
      <c r="F349" s="85" t="str">
        <f aca="false">IF(A349="","",IF(ISNUMBER(INDEX(Candidates!$A$1:$Z$500,K349,INDEX($P$2:$P$8,L349))),INDEX(Candidates!$A$1:$Z$500,K349,INDEX($P$2:$P$8,L349)),""))</f>
        <v/>
      </c>
      <c r="G349" s="85" t="str">
        <f aca="false">IF(A349="","",INDEX($Q$2:$Q$8,L349))</f>
        <v/>
      </c>
      <c r="H349" s="85" t="str">
        <f aca="false">IF(A349="","",IF(F349="","Not yet scored",IF(F349&gt;=G349,"Pass","Fail")))</f>
        <v/>
      </c>
      <c r="I349" s="85" t="str">
        <f aca="false">IF(A349="","",INDEX(Candidates!$B$1:$B$500,K349))</f>
        <v/>
      </c>
      <c r="K349" s="86" t="n">
        <f aca="false">INT((ROW()-2)/7)+2</f>
        <v>51</v>
      </c>
      <c r="L349" s="86" t="n">
        <f aca="false">MOD(ROW()-2,7)+1</f>
        <v>5</v>
      </c>
    </row>
    <row r="350" customFormat="false" ht="15" hidden="false" customHeight="false" outlineLevel="0" collapsed="false">
      <c r="A350" s="85" t="str">
        <f aca="false">IF(INDEX(Candidates!$A$1:$A$500,K350)="","",INDEX(Candidates!$A$1:$A$500,K350))</f>
        <v/>
      </c>
      <c r="B350" s="85" t="str">
        <f aca="false">IF(A350="","",INDEX(Candidates!$C$1:$C$500,K350))</f>
        <v/>
      </c>
      <c r="C350" s="85" t="str">
        <f aca="false">IF(A350="","",INDEX(Candidates!$D$1:$D$500,K350))</f>
        <v/>
      </c>
      <c r="D350" s="85" t="str">
        <f aca="false">IF(A350="","",L350)</f>
        <v/>
      </c>
      <c r="E350" s="85" t="str">
        <f aca="false">IF(A350="","",INDEX($O$2:$O$8,L350))</f>
        <v/>
      </c>
      <c r="F350" s="85" t="str">
        <f aca="false">IF(A350="","",IF(ISNUMBER(INDEX(Candidates!$A$1:$Z$500,K350,INDEX($P$2:$P$8,L350))),INDEX(Candidates!$A$1:$Z$500,K350,INDEX($P$2:$P$8,L350)),""))</f>
        <v/>
      </c>
      <c r="G350" s="85" t="str">
        <f aca="false">IF(A350="","",INDEX($Q$2:$Q$8,L350))</f>
        <v/>
      </c>
      <c r="H350" s="85" t="str">
        <f aca="false">IF(A350="","",IF(F350="","Not yet scored",IF(F350&gt;=G350,"Pass","Fail")))</f>
        <v/>
      </c>
      <c r="I350" s="85" t="str">
        <f aca="false">IF(A350="","",INDEX(Candidates!$B$1:$B$500,K350))</f>
        <v/>
      </c>
      <c r="K350" s="86" t="n">
        <f aca="false">INT((ROW()-2)/7)+2</f>
        <v>51</v>
      </c>
      <c r="L350" s="86" t="n">
        <f aca="false">MOD(ROW()-2,7)+1</f>
        <v>6</v>
      </c>
    </row>
    <row r="351" customFormat="false" ht="15" hidden="false" customHeight="false" outlineLevel="0" collapsed="false">
      <c r="A351" s="85" t="str">
        <f aca="false">IF(INDEX(Candidates!$A$1:$A$500,K351)="","",INDEX(Candidates!$A$1:$A$500,K351))</f>
        <v/>
      </c>
      <c r="B351" s="85" t="str">
        <f aca="false">IF(A351="","",INDEX(Candidates!$C$1:$C$500,K351))</f>
        <v/>
      </c>
      <c r="C351" s="85" t="str">
        <f aca="false">IF(A351="","",INDEX(Candidates!$D$1:$D$500,K351))</f>
        <v/>
      </c>
      <c r="D351" s="85" t="str">
        <f aca="false">IF(A351="","",L351)</f>
        <v/>
      </c>
      <c r="E351" s="85" t="str">
        <f aca="false">IF(A351="","",INDEX($O$2:$O$8,L351))</f>
        <v/>
      </c>
      <c r="F351" s="85" t="str">
        <f aca="false">IF(A351="","",IF(ISNUMBER(INDEX(Candidates!$A$1:$Z$500,K351,INDEX($P$2:$P$8,L351))),INDEX(Candidates!$A$1:$Z$500,K351,INDEX($P$2:$P$8,L351)),""))</f>
        <v/>
      </c>
      <c r="G351" s="85" t="str">
        <f aca="false">IF(A351="","",INDEX($Q$2:$Q$8,L351))</f>
        <v/>
      </c>
      <c r="H351" s="85" t="str">
        <f aca="false">IF(A351="","",IF(F351="","Not yet scored",IF(F351&gt;=G351,"Pass","Fail")))</f>
        <v/>
      </c>
      <c r="I351" s="85" t="str">
        <f aca="false">IF(A351="","",INDEX(Candidates!$B$1:$B$500,K351))</f>
        <v/>
      </c>
      <c r="K351" s="86" t="n">
        <f aca="false">INT((ROW()-2)/7)+2</f>
        <v>51</v>
      </c>
      <c r="L351" s="86" t="n">
        <f aca="false">MOD(ROW()-2,7)+1</f>
        <v>7</v>
      </c>
    </row>
    <row r="352" customFormat="false" ht="15" hidden="false" customHeight="false" outlineLevel="0" collapsed="false">
      <c r="A352" s="85" t="str">
        <f aca="false">IF(INDEX(Candidates!$A$1:$A$500,K352)="","",INDEX(Candidates!$A$1:$A$500,K352))</f>
        <v/>
      </c>
      <c r="B352" s="85" t="str">
        <f aca="false">IF(A352="","",INDEX(Candidates!$C$1:$C$500,K352))</f>
        <v/>
      </c>
      <c r="C352" s="85" t="str">
        <f aca="false">IF(A352="","",INDEX(Candidates!$D$1:$D$500,K352))</f>
        <v/>
      </c>
      <c r="D352" s="85" t="str">
        <f aca="false">IF(A352="","",L352)</f>
        <v/>
      </c>
      <c r="E352" s="85" t="str">
        <f aca="false">IF(A352="","",INDEX($O$2:$O$8,L352))</f>
        <v/>
      </c>
      <c r="F352" s="85" t="str">
        <f aca="false">IF(A352="","",IF(ISNUMBER(INDEX(Candidates!$A$1:$Z$500,K352,INDEX($P$2:$P$8,L352))),INDEX(Candidates!$A$1:$Z$500,K352,INDEX($P$2:$P$8,L352)),""))</f>
        <v/>
      </c>
      <c r="G352" s="85" t="str">
        <f aca="false">IF(A352="","",INDEX($Q$2:$Q$8,L352))</f>
        <v/>
      </c>
      <c r="H352" s="85" t="str">
        <f aca="false">IF(A352="","",IF(F352="","Not yet scored",IF(F352&gt;=G352,"Pass","Fail")))</f>
        <v/>
      </c>
      <c r="I352" s="85" t="str">
        <f aca="false">IF(A352="","",INDEX(Candidates!$B$1:$B$500,K352))</f>
        <v/>
      </c>
      <c r="K352" s="86" t="n">
        <f aca="false">INT((ROW()-2)/7)+2</f>
        <v>52</v>
      </c>
      <c r="L352" s="86" t="n">
        <f aca="false">MOD(ROW()-2,7)+1</f>
        <v>1</v>
      </c>
    </row>
    <row r="353" customFormat="false" ht="15" hidden="false" customHeight="false" outlineLevel="0" collapsed="false">
      <c r="A353" s="85" t="str">
        <f aca="false">IF(INDEX(Candidates!$A$1:$A$500,K353)="","",INDEX(Candidates!$A$1:$A$500,K353))</f>
        <v/>
      </c>
      <c r="B353" s="85" t="str">
        <f aca="false">IF(A353="","",INDEX(Candidates!$C$1:$C$500,K353))</f>
        <v/>
      </c>
      <c r="C353" s="85" t="str">
        <f aca="false">IF(A353="","",INDEX(Candidates!$D$1:$D$500,K353))</f>
        <v/>
      </c>
      <c r="D353" s="85" t="str">
        <f aca="false">IF(A353="","",L353)</f>
        <v/>
      </c>
      <c r="E353" s="85" t="str">
        <f aca="false">IF(A353="","",INDEX($O$2:$O$8,L353))</f>
        <v/>
      </c>
      <c r="F353" s="85" t="str">
        <f aca="false">IF(A353="","",IF(ISNUMBER(INDEX(Candidates!$A$1:$Z$500,K353,INDEX($P$2:$P$8,L353))),INDEX(Candidates!$A$1:$Z$500,K353,INDEX($P$2:$P$8,L353)),""))</f>
        <v/>
      </c>
      <c r="G353" s="85" t="str">
        <f aca="false">IF(A353="","",INDEX($Q$2:$Q$8,L353))</f>
        <v/>
      </c>
      <c r="H353" s="85" t="str">
        <f aca="false">IF(A353="","",IF(F353="","Not yet scored",IF(F353&gt;=G353,"Pass","Fail")))</f>
        <v/>
      </c>
      <c r="I353" s="85" t="str">
        <f aca="false">IF(A353="","",INDEX(Candidates!$B$1:$B$500,K353))</f>
        <v/>
      </c>
      <c r="K353" s="86" t="n">
        <f aca="false">INT((ROW()-2)/7)+2</f>
        <v>52</v>
      </c>
      <c r="L353" s="86" t="n">
        <f aca="false">MOD(ROW()-2,7)+1</f>
        <v>2</v>
      </c>
    </row>
    <row r="354" customFormat="false" ht="15" hidden="false" customHeight="false" outlineLevel="0" collapsed="false">
      <c r="A354" s="85" t="str">
        <f aca="false">IF(INDEX(Candidates!$A$1:$A$500,K354)="","",INDEX(Candidates!$A$1:$A$500,K354))</f>
        <v/>
      </c>
      <c r="B354" s="85" t="str">
        <f aca="false">IF(A354="","",INDEX(Candidates!$C$1:$C$500,K354))</f>
        <v/>
      </c>
      <c r="C354" s="85" t="str">
        <f aca="false">IF(A354="","",INDEX(Candidates!$D$1:$D$500,K354))</f>
        <v/>
      </c>
      <c r="D354" s="85" t="str">
        <f aca="false">IF(A354="","",L354)</f>
        <v/>
      </c>
      <c r="E354" s="85" t="str">
        <f aca="false">IF(A354="","",INDEX($O$2:$O$8,L354))</f>
        <v/>
      </c>
      <c r="F354" s="85" t="str">
        <f aca="false">IF(A354="","",IF(ISNUMBER(INDEX(Candidates!$A$1:$Z$500,K354,INDEX($P$2:$P$8,L354))),INDEX(Candidates!$A$1:$Z$500,K354,INDEX($P$2:$P$8,L354)),""))</f>
        <v/>
      </c>
      <c r="G354" s="85" t="str">
        <f aca="false">IF(A354="","",INDEX($Q$2:$Q$8,L354))</f>
        <v/>
      </c>
      <c r="H354" s="85" t="str">
        <f aca="false">IF(A354="","",IF(F354="","Not yet scored",IF(F354&gt;=G354,"Pass","Fail")))</f>
        <v/>
      </c>
      <c r="I354" s="85" t="str">
        <f aca="false">IF(A354="","",INDEX(Candidates!$B$1:$B$500,K354))</f>
        <v/>
      </c>
      <c r="K354" s="86" t="n">
        <f aca="false">INT((ROW()-2)/7)+2</f>
        <v>52</v>
      </c>
      <c r="L354" s="86" t="n">
        <f aca="false">MOD(ROW()-2,7)+1</f>
        <v>3</v>
      </c>
    </row>
    <row r="355" customFormat="false" ht="15" hidden="false" customHeight="false" outlineLevel="0" collapsed="false">
      <c r="A355" s="85" t="str">
        <f aca="false">IF(INDEX(Candidates!$A$1:$A$500,K355)="","",INDEX(Candidates!$A$1:$A$500,K355))</f>
        <v/>
      </c>
      <c r="B355" s="85" t="str">
        <f aca="false">IF(A355="","",INDEX(Candidates!$C$1:$C$500,K355))</f>
        <v/>
      </c>
      <c r="C355" s="85" t="str">
        <f aca="false">IF(A355="","",INDEX(Candidates!$D$1:$D$500,K355))</f>
        <v/>
      </c>
      <c r="D355" s="85" t="str">
        <f aca="false">IF(A355="","",L355)</f>
        <v/>
      </c>
      <c r="E355" s="85" t="str">
        <f aca="false">IF(A355="","",INDEX($O$2:$O$8,L355))</f>
        <v/>
      </c>
      <c r="F355" s="85" t="str">
        <f aca="false">IF(A355="","",IF(ISNUMBER(INDEX(Candidates!$A$1:$Z$500,K355,INDEX($P$2:$P$8,L355))),INDEX(Candidates!$A$1:$Z$500,K355,INDEX($P$2:$P$8,L355)),""))</f>
        <v/>
      </c>
      <c r="G355" s="85" t="str">
        <f aca="false">IF(A355="","",INDEX($Q$2:$Q$8,L355))</f>
        <v/>
      </c>
      <c r="H355" s="85" t="str">
        <f aca="false">IF(A355="","",IF(F355="","Not yet scored",IF(F355&gt;=G355,"Pass","Fail")))</f>
        <v/>
      </c>
      <c r="I355" s="85" t="str">
        <f aca="false">IF(A355="","",INDEX(Candidates!$B$1:$B$500,K355))</f>
        <v/>
      </c>
      <c r="K355" s="86" t="n">
        <f aca="false">INT((ROW()-2)/7)+2</f>
        <v>52</v>
      </c>
      <c r="L355" s="86" t="n">
        <f aca="false">MOD(ROW()-2,7)+1</f>
        <v>4</v>
      </c>
    </row>
    <row r="356" customFormat="false" ht="15" hidden="false" customHeight="false" outlineLevel="0" collapsed="false">
      <c r="A356" s="85" t="str">
        <f aca="false">IF(INDEX(Candidates!$A$1:$A$500,K356)="","",INDEX(Candidates!$A$1:$A$500,K356))</f>
        <v/>
      </c>
      <c r="B356" s="85" t="str">
        <f aca="false">IF(A356="","",INDEX(Candidates!$C$1:$C$500,K356))</f>
        <v/>
      </c>
      <c r="C356" s="85" t="str">
        <f aca="false">IF(A356="","",INDEX(Candidates!$D$1:$D$500,K356))</f>
        <v/>
      </c>
      <c r="D356" s="85" t="str">
        <f aca="false">IF(A356="","",L356)</f>
        <v/>
      </c>
      <c r="E356" s="85" t="str">
        <f aca="false">IF(A356="","",INDEX($O$2:$O$8,L356))</f>
        <v/>
      </c>
      <c r="F356" s="85" t="str">
        <f aca="false">IF(A356="","",IF(ISNUMBER(INDEX(Candidates!$A$1:$Z$500,K356,INDEX($P$2:$P$8,L356))),INDEX(Candidates!$A$1:$Z$500,K356,INDEX($P$2:$P$8,L356)),""))</f>
        <v/>
      </c>
      <c r="G356" s="85" t="str">
        <f aca="false">IF(A356="","",INDEX($Q$2:$Q$8,L356))</f>
        <v/>
      </c>
      <c r="H356" s="85" t="str">
        <f aca="false">IF(A356="","",IF(F356="","Not yet scored",IF(F356&gt;=G356,"Pass","Fail")))</f>
        <v/>
      </c>
      <c r="I356" s="85" t="str">
        <f aca="false">IF(A356="","",INDEX(Candidates!$B$1:$B$500,K356))</f>
        <v/>
      </c>
      <c r="K356" s="86" t="n">
        <f aca="false">INT((ROW()-2)/7)+2</f>
        <v>52</v>
      </c>
      <c r="L356" s="86" t="n">
        <f aca="false">MOD(ROW()-2,7)+1</f>
        <v>5</v>
      </c>
    </row>
    <row r="357" customFormat="false" ht="15" hidden="false" customHeight="false" outlineLevel="0" collapsed="false">
      <c r="A357" s="85" t="str">
        <f aca="false">IF(INDEX(Candidates!$A$1:$A$500,K357)="","",INDEX(Candidates!$A$1:$A$500,K357))</f>
        <v/>
      </c>
      <c r="B357" s="85" t="str">
        <f aca="false">IF(A357="","",INDEX(Candidates!$C$1:$C$500,K357))</f>
        <v/>
      </c>
      <c r="C357" s="85" t="str">
        <f aca="false">IF(A357="","",INDEX(Candidates!$D$1:$D$500,K357))</f>
        <v/>
      </c>
      <c r="D357" s="85" t="str">
        <f aca="false">IF(A357="","",L357)</f>
        <v/>
      </c>
      <c r="E357" s="85" t="str">
        <f aca="false">IF(A357="","",INDEX($O$2:$O$8,L357))</f>
        <v/>
      </c>
      <c r="F357" s="85" t="str">
        <f aca="false">IF(A357="","",IF(ISNUMBER(INDEX(Candidates!$A$1:$Z$500,K357,INDEX($P$2:$P$8,L357))),INDEX(Candidates!$A$1:$Z$500,K357,INDEX($P$2:$P$8,L357)),""))</f>
        <v/>
      </c>
      <c r="G357" s="85" t="str">
        <f aca="false">IF(A357="","",INDEX($Q$2:$Q$8,L357))</f>
        <v/>
      </c>
      <c r="H357" s="85" t="str">
        <f aca="false">IF(A357="","",IF(F357="","Not yet scored",IF(F357&gt;=G357,"Pass","Fail")))</f>
        <v/>
      </c>
      <c r="I357" s="85" t="str">
        <f aca="false">IF(A357="","",INDEX(Candidates!$B$1:$B$500,K357))</f>
        <v/>
      </c>
      <c r="K357" s="86" t="n">
        <f aca="false">INT((ROW()-2)/7)+2</f>
        <v>52</v>
      </c>
      <c r="L357" s="86" t="n">
        <f aca="false">MOD(ROW()-2,7)+1</f>
        <v>6</v>
      </c>
    </row>
    <row r="358" customFormat="false" ht="15" hidden="false" customHeight="false" outlineLevel="0" collapsed="false">
      <c r="A358" s="85" t="str">
        <f aca="false">IF(INDEX(Candidates!$A$1:$A$500,K358)="","",INDEX(Candidates!$A$1:$A$500,K358))</f>
        <v/>
      </c>
      <c r="B358" s="85" t="str">
        <f aca="false">IF(A358="","",INDEX(Candidates!$C$1:$C$500,K358))</f>
        <v/>
      </c>
      <c r="C358" s="85" t="str">
        <f aca="false">IF(A358="","",INDEX(Candidates!$D$1:$D$500,K358))</f>
        <v/>
      </c>
      <c r="D358" s="85" t="str">
        <f aca="false">IF(A358="","",L358)</f>
        <v/>
      </c>
      <c r="E358" s="85" t="str">
        <f aca="false">IF(A358="","",INDEX($O$2:$O$8,L358))</f>
        <v/>
      </c>
      <c r="F358" s="85" t="str">
        <f aca="false">IF(A358="","",IF(ISNUMBER(INDEX(Candidates!$A$1:$Z$500,K358,INDEX($P$2:$P$8,L358))),INDEX(Candidates!$A$1:$Z$500,K358,INDEX($P$2:$P$8,L358)),""))</f>
        <v/>
      </c>
      <c r="G358" s="85" t="str">
        <f aca="false">IF(A358="","",INDEX($Q$2:$Q$8,L358))</f>
        <v/>
      </c>
      <c r="H358" s="85" t="str">
        <f aca="false">IF(A358="","",IF(F358="","Not yet scored",IF(F358&gt;=G358,"Pass","Fail")))</f>
        <v/>
      </c>
      <c r="I358" s="85" t="str">
        <f aca="false">IF(A358="","",INDEX(Candidates!$B$1:$B$500,K358))</f>
        <v/>
      </c>
      <c r="K358" s="86" t="n">
        <f aca="false">INT((ROW()-2)/7)+2</f>
        <v>52</v>
      </c>
      <c r="L358" s="86" t="n">
        <f aca="false">MOD(ROW()-2,7)+1</f>
        <v>7</v>
      </c>
    </row>
    <row r="359" customFormat="false" ht="15" hidden="false" customHeight="false" outlineLevel="0" collapsed="false">
      <c r="A359" s="85" t="str">
        <f aca="false">IF(INDEX(Candidates!$A$1:$A$500,K359)="","",INDEX(Candidates!$A$1:$A$500,K359))</f>
        <v/>
      </c>
      <c r="B359" s="85" t="str">
        <f aca="false">IF(A359="","",INDEX(Candidates!$C$1:$C$500,K359))</f>
        <v/>
      </c>
      <c r="C359" s="85" t="str">
        <f aca="false">IF(A359="","",INDEX(Candidates!$D$1:$D$500,K359))</f>
        <v/>
      </c>
      <c r="D359" s="85" t="str">
        <f aca="false">IF(A359="","",L359)</f>
        <v/>
      </c>
      <c r="E359" s="85" t="str">
        <f aca="false">IF(A359="","",INDEX($O$2:$O$8,L359))</f>
        <v/>
      </c>
      <c r="F359" s="85" t="str">
        <f aca="false">IF(A359="","",IF(ISNUMBER(INDEX(Candidates!$A$1:$Z$500,K359,INDEX($P$2:$P$8,L359))),INDEX(Candidates!$A$1:$Z$500,K359,INDEX($P$2:$P$8,L359)),""))</f>
        <v/>
      </c>
      <c r="G359" s="85" t="str">
        <f aca="false">IF(A359="","",INDEX($Q$2:$Q$8,L359))</f>
        <v/>
      </c>
      <c r="H359" s="85" t="str">
        <f aca="false">IF(A359="","",IF(F359="","Not yet scored",IF(F359&gt;=G359,"Pass","Fail")))</f>
        <v/>
      </c>
      <c r="I359" s="85" t="str">
        <f aca="false">IF(A359="","",INDEX(Candidates!$B$1:$B$500,K359))</f>
        <v/>
      </c>
      <c r="K359" s="86" t="n">
        <f aca="false">INT((ROW()-2)/7)+2</f>
        <v>53</v>
      </c>
      <c r="L359" s="86" t="n">
        <f aca="false">MOD(ROW()-2,7)+1</f>
        <v>1</v>
      </c>
    </row>
    <row r="360" customFormat="false" ht="15" hidden="false" customHeight="false" outlineLevel="0" collapsed="false">
      <c r="A360" s="85" t="str">
        <f aca="false">IF(INDEX(Candidates!$A$1:$A$500,K360)="","",INDEX(Candidates!$A$1:$A$500,K360))</f>
        <v/>
      </c>
      <c r="B360" s="85" t="str">
        <f aca="false">IF(A360="","",INDEX(Candidates!$C$1:$C$500,K360))</f>
        <v/>
      </c>
      <c r="C360" s="85" t="str">
        <f aca="false">IF(A360="","",INDEX(Candidates!$D$1:$D$500,K360))</f>
        <v/>
      </c>
      <c r="D360" s="85" t="str">
        <f aca="false">IF(A360="","",L360)</f>
        <v/>
      </c>
      <c r="E360" s="85" t="str">
        <f aca="false">IF(A360="","",INDEX($O$2:$O$8,L360))</f>
        <v/>
      </c>
      <c r="F360" s="85" t="str">
        <f aca="false">IF(A360="","",IF(ISNUMBER(INDEX(Candidates!$A$1:$Z$500,K360,INDEX($P$2:$P$8,L360))),INDEX(Candidates!$A$1:$Z$500,K360,INDEX($P$2:$P$8,L360)),""))</f>
        <v/>
      </c>
      <c r="G360" s="85" t="str">
        <f aca="false">IF(A360="","",INDEX($Q$2:$Q$8,L360))</f>
        <v/>
      </c>
      <c r="H360" s="85" t="str">
        <f aca="false">IF(A360="","",IF(F360="","Not yet scored",IF(F360&gt;=G360,"Pass","Fail")))</f>
        <v/>
      </c>
      <c r="I360" s="85" t="str">
        <f aca="false">IF(A360="","",INDEX(Candidates!$B$1:$B$500,K360))</f>
        <v/>
      </c>
      <c r="K360" s="86" t="n">
        <f aca="false">INT((ROW()-2)/7)+2</f>
        <v>53</v>
      </c>
      <c r="L360" s="86" t="n">
        <f aca="false">MOD(ROW()-2,7)+1</f>
        <v>2</v>
      </c>
    </row>
    <row r="361" customFormat="false" ht="15" hidden="false" customHeight="false" outlineLevel="0" collapsed="false">
      <c r="A361" s="85" t="str">
        <f aca="false">IF(INDEX(Candidates!$A$1:$A$500,K361)="","",INDEX(Candidates!$A$1:$A$500,K361))</f>
        <v/>
      </c>
      <c r="B361" s="85" t="str">
        <f aca="false">IF(A361="","",INDEX(Candidates!$C$1:$C$500,K361))</f>
        <v/>
      </c>
      <c r="C361" s="85" t="str">
        <f aca="false">IF(A361="","",INDEX(Candidates!$D$1:$D$500,K361))</f>
        <v/>
      </c>
      <c r="D361" s="85" t="str">
        <f aca="false">IF(A361="","",L361)</f>
        <v/>
      </c>
      <c r="E361" s="85" t="str">
        <f aca="false">IF(A361="","",INDEX($O$2:$O$8,L361))</f>
        <v/>
      </c>
      <c r="F361" s="85" t="str">
        <f aca="false">IF(A361="","",IF(ISNUMBER(INDEX(Candidates!$A$1:$Z$500,K361,INDEX($P$2:$P$8,L361))),INDEX(Candidates!$A$1:$Z$500,K361,INDEX($P$2:$P$8,L361)),""))</f>
        <v/>
      </c>
      <c r="G361" s="85" t="str">
        <f aca="false">IF(A361="","",INDEX($Q$2:$Q$8,L361))</f>
        <v/>
      </c>
      <c r="H361" s="85" t="str">
        <f aca="false">IF(A361="","",IF(F361="","Not yet scored",IF(F361&gt;=G361,"Pass","Fail")))</f>
        <v/>
      </c>
      <c r="I361" s="85" t="str">
        <f aca="false">IF(A361="","",INDEX(Candidates!$B$1:$B$500,K361))</f>
        <v/>
      </c>
      <c r="K361" s="86" t="n">
        <f aca="false">INT((ROW()-2)/7)+2</f>
        <v>53</v>
      </c>
      <c r="L361" s="86" t="n">
        <f aca="false">MOD(ROW()-2,7)+1</f>
        <v>3</v>
      </c>
    </row>
    <row r="362" customFormat="false" ht="15" hidden="false" customHeight="false" outlineLevel="0" collapsed="false">
      <c r="A362" s="85" t="str">
        <f aca="false">IF(INDEX(Candidates!$A$1:$A$500,K362)="","",INDEX(Candidates!$A$1:$A$500,K362))</f>
        <v/>
      </c>
      <c r="B362" s="85" t="str">
        <f aca="false">IF(A362="","",INDEX(Candidates!$C$1:$C$500,K362))</f>
        <v/>
      </c>
      <c r="C362" s="85" t="str">
        <f aca="false">IF(A362="","",INDEX(Candidates!$D$1:$D$500,K362))</f>
        <v/>
      </c>
      <c r="D362" s="85" t="str">
        <f aca="false">IF(A362="","",L362)</f>
        <v/>
      </c>
      <c r="E362" s="85" t="str">
        <f aca="false">IF(A362="","",INDEX($O$2:$O$8,L362))</f>
        <v/>
      </c>
      <c r="F362" s="85" t="str">
        <f aca="false">IF(A362="","",IF(ISNUMBER(INDEX(Candidates!$A$1:$Z$500,K362,INDEX($P$2:$P$8,L362))),INDEX(Candidates!$A$1:$Z$500,K362,INDEX($P$2:$P$8,L362)),""))</f>
        <v/>
      </c>
      <c r="G362" s="85" t="str">
        <f aca="false">IF(A362="","",INDEX($Q$2:$Q$8,L362))</f>
        <v/>
      </c>
      <c r="H362" s="85" t="str">
        <f aca="false">IF(A362="","",IF(F362="","Not yet scored",IF(F362&gt;=G362,"Pass","Fail")))</f>
        <v/>
      </c>
      <c r="I362" s="85" t="str">
        <f aca="false">IF(A362="","",INDEX(Candidates!$B$1:$B$500,K362))</f>
        <v/>
      </c>
      <c r="K362" s="86" t="n">
        <f aca="false">INT((ROW()-2)/7)+2</f>
        <v>53</v>
      </c>
      <c r="L362" s="86" t="n">
        <f aca="false">MOD(ROW()-2,7)+1</f>
        <v>4</v>
      </c>
    </row>
    <row r="363" customFormat="false" ht="15" hidden="false" customHeight="false" outlineLevel="0" collapsed="false">
      <c r="A363" s="85" t="str">
        <f aca="false">IF(INDEX(Candidates!$A$1:$A$500,K363)="","",INDEX(Candidates!$A$1:$A$500,K363))</f>
        <v/>
      </c>
      <c r="B363" s="85" t="str">
        <f aca="false">IF(A363="","",INDEX(Candidates!$C$1:$C$500,K363))</f>
        <v/>
      </c>
      <c r="C363" s="85" t="str">
        <f aca="false">IF(A363="","",INDEX(Candidates!$D$1:$D$500,K363))</f>
        <v/>
      </c>
      <c r="D363" s="85" t="str">
        <f aca="false">IF(A363="","",L363)</f>
        <v/>
      </c>
      <c r="E363" s="85" t="str">
        <f aca="false">IF(A363="","",INDEX($O$2:$O$8,L363))</f>
        <v/>
      </c>
      <c r="F363" s="85" t="str">
        <f aca="false">IF(A363="","",IF(ISNUMBER(INDEX(Candidates!$A$1:$Z$500,K363,INDEX($P$2:$P$8,L363))),INDEX(Candidates!$A$1:$Z$500,K363,INDEX($P$2:$P$8,L363)),""))</f>
        <v/>
      </c>
      <c r="G363" s="85" t="str">
        <f aca="false">IF(A363="","",INDEX($Q$2:$Q$8,L363))</f>
        <v/>
      </c>
      <c r="H363" s="85" t="str">
        <f aca="false">IF(A363="","",IF(F363="","Not yet scored",IF(F363&gt;=G363,"Pass","Fail")))</f>
        <v/>
      </c>
      <c r="I363" s="85" t="str">
        <f aca="false">IF(A363="","",INDEX(Candidates!$B$1:$B$500,K363))</f>
        <v/>
      </c>
      <c r="K363" s="86" t="n">
        <f aca="false">INT((ROW()-2)/7)+2</f>
        <v>53</v>
      </c>
      <c r="L363" s="86" t="n">
        <f aca="false">MOD(ROW()-2,7)+1</f>
        <v>5</v>
      </c>
    </row>
    <row r="364" customFormat="false" ht="15" hidden="false" customHeight="false" outlineLevel="0" collapsed="false">
      <c r="A364" s="85" t="str">
        <f aca="false">IF(INDEX(Candidates!$A$1:$A$500,K364)="","",INDEX(Candidates!$A$1:$A$500,K364))</f>
        <v/>
      </c>
      <c r="B364" s="85" t="str">
        <f aca="false">IF(A364="","",INDEX(Candidates!$C$1:$C$500,K364))</f>
        <v/>
      </c>
      <c r="C364" s="85" t="str">
        <f aca="false">IF(A364="","",INDEX(Candidates!$D$1:$D$500,K364))</f>
        <v/>
      </c>
      <c r="D364" s="85" t="str">
        <f aca="false">IF(A364="","",L364)</f>
        <v/>
      </c>
      <c r="E364" s="85" t="str">
        <f aca="false">IF(A364="","",INDEX($O$2:$O$8,L364))</f>
        <v/>
      </c>
      <c r="F364" s="85" t="str">
        <f aca="false">IF(A364="","",IF(ISNUMBER(INDEX(Candidates!$A$1:$Z$500,K364,INDEX($P$2:$P$8,L364))),INDEX(Candidates!$A$1:$Z$500,K364,INDEX($P$2:$P$8,L364)),""))</f>
        <v/>
      </c>
      <c r="G364" s="85" t="str">
        <f aca="false">IF(A364="","",INDEX($Q$2:$Q$8,L364))</f>
        <v/>
      </c>
      <c r="H364" s="85" t="str">
        <f aca="false">IF(A364="","",IF(F364="","Not yet scored",IF(F364&gt;=G364,"Pass","Fail")))</f>
        <v/>
      </c>
      <c r="I364" s="85" t="str">
        <f aca="false">IF(A364="","",INDEX(Candidates!$B$1:$B$500,K364))</f>
        <v/>
      </c>
      <c r="K364" s="86" t="n">
        <f aca="false">INT((ROW()-2)/7)+2</f>
        <v>53</v>
      </c>
      <c r="L364" s="86" t="n">
        <f aca="false">MOD(ROW()-2,7)+1</f>
        <v>6</v>
      </c>
    </row>
    <row r="365" customFormat="false" ht="15" hidden="false" customHeight="false" outlineLevel="0" collapsed="false">
      <c r="A365" s="85" t="str">
        <f aca="false">IF(INDEX(Candidates!$A$1:$A$500,K365)="","",INDEX(Candidates!$A$1:$A$500,K365))</f>
        <v/>
      </c>
      <c r="B365" s="85" t="str">
        <f aca="false">IF(A365="","",INDEX(Candidates!$C$1:$C$500,K365))</f>
        <v/>
      </c>
      <c r="C365" s="85" t="str">
        <f aca="false">IF(A365="","",INDEX(Candidates!$D$1:$D$500,K365))</f>
        <v/>
      </c>
      <c r="D365" s="85" t="str">
        <f aca="false">IF(A365="","",L365)</f>
        <v/>
      </c>
      <c r="E365" s="85" t="str">
        <f aca="false">IF(A365="","",INDEX($O$2:$O$8,L365))</f>
        <v/>
      </c>
      <c r="F365" s="85" t="str">
        <f aca="false">IF(A365="","",IF(ISNUMBER(INDEX(Candidates!$A$1:$Z$500,K365,INDEX($P$2:$P$8,L365))),INDEX(Candidates!$A$1:$Z$500,K365,INDEX($P$2:$P$8,L365)),""))</f>
        <v/>
      </c>
      <c r="G365" s="85" t="str">
        <f aca="false">IF(A365="","",INDEX($Q$2:$Q$8,L365))</f>
        <v/>
      </c>
      <c r="H365" s="85" t="str">
        <f aca="false">IF(A365="","",IF(F365="","Not yet scored",IF(F365&gt;=G365,"Pass","Fail")))</f>
        <v/>
      </c>
      <c r="I365" s="85" t="str">
        <f aca="false">IF(A365="","",INDEX(Candidates!$B$1:$B$500,K365))</f>
        <v/>
      </c>
      <c r="K365" s="86" t="n">
        <f aca="false">INT((ROW()-2)/7)+2</f>
        <v>53</v>
      </c>
      <c r="L365" s="86" t="n">
        <f aca="false">MOD(ROW()-2,7)+1</f>
        <v>7</v>
      </c>
    </row>
    <row r="366" customFormat="false" ht="15" hidden="false" customHeight="false" outlineLevel="0" collapsed="false">
      <c r="A366" s="85" t="str">
        <f aca="false">IF(INDEX(Candidates!$A$1:$A$500,K366)="","",INDEX(Candidates!$A$1:$A$500,K366))</f>
        <v/>
      </c>
      <c r="B366" s="85" t="str">
        <f aca="false">IF(A366="","",INDEX(Candidates!$C$1:$C$500,K366))</f>
        <v/>
      </c>
      <c r="C366" s="85" t="str">
        <f aca="false">IF(A366="","",INDEX(Candidates!$D$1:$D$500,K366))</f>
        <v/>
      </c>
      <c r="D366" s="85" t="str">
        <f aca="false">IF(A366="","",L366)</f>
        <v/>
      </c>
      <c r="E366" s="85" t="str">
        <f aca="false">IF(A366="","",INDEX($O$2:$O$8,L366))</f>
        <v/>
      </c>
      <c r="F366" s="85" t="str">
        <f aca="false">IF(A366="","",IF(ISNUMBER(INDEX(Candidates!$A$1:$Z$500,K366,INDEX($P$2:$P$8,L366))),INDEX(Candidates!$A$1:$Z$500,K366,INDEX($P$2:$P$8,L366)),""))</f>
        <v/>
      </c>
      <c r="G366" s="85" t="str">
        <f aca="false">IF(A366="","",INDEX($Q$2:$Q$8,L366))</f>
        <v/>
      </c>
      <c r="H366" s="85" t="str">
        <f aca="false">IF(A366="","",IF(F366="","Not yet scored",IF(F366&gt;=G366,"Pass","Fail")))</f>
        <v/>
      </c>
      <c r="I366" s="85" t="str">
        <f aca="false">IF(A366="","",INDEX(Candidates!$B$1:$B$500,K366))</f>
        <v/>
      </c>
      <c r="K366" s="86" t="n">
        <f aca="false">INT((ROW()-2)/7)+2</f>
        <v>54</v>
      </c>
      <c r="L366" s="86" t="n">
        <f aca="false">MOD(ROW()-2,7)+1</f>
        <v>1</v>
      </c>
    </row>
    <row r="367" customFormat="false" ht="15" hidden="false" customHeight="false" outlineLevel="0" collapsed="false">
      <c r="A367" s="85" t="str">
        <f aca="false">IF(INDEX(Candidates!$A$1:$A$500,K367)="","",INDEX(Candidates!$A$1:$A$500,K367))</f>
        <v/>
      </c>
      <c r="B367" s="85" t="str">
        <f aca="false">IF(A367="","",INDEX(Candidates!$C$1:$C$500,K367))</f>
        <v/>
      </c>
      <c r="C367" s="85" t="str">
        <f aca="false">IF(A367="","",INDEX(Candidates!$D$1:$D$500,K367))</f>
        <v/>
      </c>
      <c r="D367" s="85" t="str">
        <f aca="false">IF(A367="","",L367)</f>
        <v/>
      </c>
      <c r="E367" s="85" t="str">
        <f aca="false">IF(A367="","",INDEX($O$2:$O$8,L367))</f>
        <v/>
      </c>
      <c r="F367" s="85" t="str">
        <f aca="false">IF(A367="","",IF(ISNUMBER(INDEX(Candidates!$A$1:$Z$500,K367,INDEX($P$2:$P$8,L367))),INDEX(Candidates!$A$1:$Z$500,K367,INDEX($P$2:$P$8,L367)),""))</f>
        <v/>
      </c>
      <c r="G367" s="85" t="str">
        <f aca="false">IF(A367="","",INDEX($Q$2:$Q$8,L367))</f>
        <v/>
      </c>
      <c r="H367" s="85" t="str">
        <f aca="false">IF(A367="","",IF(F367="","Not yet scored",IF(F367&gt;=G367,"Pass","Fail")))</f>
        <v/>
      </c>
      <c r="I367" s="85" t="str">
        <f aca="false">IF(A367="","",INDEX(Candidates!$B$1:$B$500,K367))</f>
        <v/>
      </c>
      <c r="K367" s="86" t="n">
        <f aca="false">INT((ROW()-2)/7)+2</f>
        <v>54</v>
      </c>
      <c r="L367" s="86" t="n">
        <f aca="false">MOD(ROW()-2,7)+1</f>
        <v>2</v>
      </c>
    </row>
    <row r="368" customFormat="false" ht="15" hidden="false" customHeight="false" outlineLevel="0" collapsed="false">
      <c r="A368" s="85" t="str">
        <f aca="false">IF(INDEX(Candidates!$A$1:$A$500,K368)="","",INDEX(Candidates!$A$1:$A$500,K368))</f>
        <v/>
      </c>
      <c r="B368" s="85" t="str">
        <f aca="false">IF(A368="","",INDEX(Candidates!$C$1:$C$500,K368))</f>
        <v/>
      </c>
      <c r="C368" s="85" t="str">
        <f aca="false">IF(A368="","",INDEX(Candidates!$D$1:$D$500,K368))</f>
        <v/>
      </c>
      <c r="D368" s="85" t="str">
        <f aca="false">IF(A368="","",L368)</f>
        <v/>
      </c>
      <c r="E368" s="85" t="str">
        <f aca="false">IF(A368="","",INDEX($O$2:$O$8,L368))</f>
        <v/>
      </c>
      <c r="F368" s="85" t="str">
        <f aca="false">IF(A368="","",IF(ISNUMBER(INDEX(Candidates!$A$1:$Z$500,K368,INDEX($P$2:$P$8,L368))),INDEX(Candidates!$A$1:$Z$500,K368,INDEX($P$2:$P$8,L368)),""))</f>
        <v/>
      </c>
      <c r="G368" s="85" t="str">
        <f aca="false">IF(A368="","",INDEX($Q$2:$Q$8,L368))</f>
        <v/>
      </c>
      <c r="H368" s="85" t="str">
        <f aca="false">IF(A368="","",IF(F368="","Not yet scored",IF(F368&gt;=G368,"Pass","Fail")))</f>
        <v/>
      </c>
      <c r="I368" s="85" t="str">
        <f aca="false">IF(A368="","",INDEX(Candidates!$B$1:$B$500,K368))</f>
        <v/>
      </c>
      <c r="K368" s="86" t="n">
        <f aca="false">INT((ROW()-2)/7)+2</f>
        <v>54</v>
      </c>
      <c r="L368" s="86" t="n">
        <f aca="false">MOD(ROW()-2,7)+1</f>
        <v>3</v>
      </c>
    </row>
    <row r="369" customFormat="false" ht="15" hidden="false" customHeight="false" outlineLevel="0" collapsed="false">
      <c r="A369" s="85" t="str">
        <f aca="false">IF(INDEX(Candidates!$A$1:$A$500,K369)="","",INDEX(Candidates!$A$1:$A$500,K369))</f>
        <v/>
      </c>
      <c r="B369" s="85" t="str">
        <f aca="false">IF(A369="","",INDEX(Candidates!$C$1:$C$500,K369))</f>
        <v/>
      </c>
      <c r="C369" s="85" t="str">
        <f aca="false">IF(A369="","",INDEX(Candidates!$D$1:$D$500,K369))</f>
        <v/>
      </c>
      <c r="D369" s="85" t="str">
        <f aca="false">IF(A369="","",L369)</f>
        <v/>
      </c>
      <c r="E369" s="85" t="str">
        <f aca="false">IF(A369="","",INDEX($O$2:$O$8,L369))</f>
        <v/>
      </c>
      <c r="F369" s="85" t="str">
        <f aca="false">IF(A369="","",IF(ISNUMBER(INDEX(Candidates!$A$1:$Z$500,K369,INDEX($P$2:$P$8,L369))),INDEX(Candidates!$A$1:$Z$500,K369,INDEX($P$2:$P$8,L369)),""))</f>
        <v/>
      </c>
      <c r="G369" s="85" t="str">
        <f aca="false">IF(A369="","",INDEX($Q$2:$Q$8,L369))</f>
        <v/>
      </c>
      <c r="H369" s="85" t="str">
        <f aca="false">IF(A369="","",IF(F369="","Not yet scored",IF(F369&gt;=G369,"Pass","Fail")))</f>
        <v/>
      </c>
      <c r="I369" s="85" t="str">
        <f aca="false">IF(A369="","",INDEX(Candidates!$B$1:$B$500,K369))</f>
        <v/>
      </c>
      <c r="K369" s="86" t="n">
        <f aca="false">INT((ROW()-2)/7)+2</f>
        <v>54</v>
      </c>
      <c r="L369" s="86" t="n">
        <f aca="false">MOD(ROW()-2,7)+1</f>
        <v>4</v>
      </c>
    </row>
    <row r="370" customFormat="false" ht="15" hidden="false" customHeight="false" outlineLevel="0" collapsed="false">
      <c r="A370" s="85" t="str">
        <f aca="false">IF(INDEX(Candidates!$A$1:$A$500,K370)="","",INDEX(Candidates!$A$1:$A$500,K370))</f>
        <v/>
      </c>
      <c r="B370" s="85" t="str">
        <f aca="false">IF(A370="","",INDEX(Candidates!$C$1:$C$500,K370))</f>
        <v/>
      </c>
      <c r="C370" s="85" t="str">
        <f aca="false">IF(A370="","",INDEX(Candidates!$D$1:$D$500,K370))</f>
        <v/>
      </c>
      <c r="D370" s="85" t="str">
        <f aca="false">IF(A370="","",L370)</f>
        <v/>
      </c>
      <c r="E370" s="85" t="str">
        <f aca="false">IF(A370="","",INDEX($O$2:$O$8,L370))</f>
        <v/>
      </c>
      <c r="F370" s="85" t="str">
        <f aca="false">IF(A370="","",IF(ISNUMBER(INDEX(Candidates!$A$1:$Z$500,K370,INDEX($P$2:$P$8,L370))),INDEX(Candidates!$A$1:$Z$500,K370,INDEX($P$2:$P$8,L370)),""))</f>
        <v/>
      </c>
      <c r="G370" s="85" t="str">
        <f aca="false">IF(A370="","",INDEX($Q$2:$Q$8,L370))</f>
        <v/>
      </c>
      <c r="H370" s="85" t="str">
        <f aca="false">IF(A370="","",IF(F370="","Not yet scored",IF(F370&gt;=G370,"Pass","Fail")))</f>
        <v/>
      </c>
      <c r="I370" s="85" t="str">
        <f aca="false">IF(A370="","",INDEX(Candidates!$B$1:$B$500,K370))</f>
        <v/>
      </c>
      <c r="K370" s="86" t="n">
        <f aca="false">INT((ROW()-2)/7)+2</f>
        <v>54</v>
      </c>
      <c r="L370" s="86" t="n">
        <f aca="false">MOD(ROW()-2,7)+1</f>
        <v>5</v>
      </c>
    </row>
    <row r="371" customFormat="false" ht="15" hidden="false" customHeight="false" outlineLevel="0" collapsed="false">
      <c r="A371" s="85" t="str">
        <f aca="false">IF(INDEX(Candidates!$A$1:$A$500,K371)="","",INDEX(Candidates!$A$1:$A$500,K371))</f>
        <v/>
      </c>
      <c r="B371" s="85" t="str">
        <f aca="false">IF(A371="","",INDEX(Candidates!$C$1:$C$500,K371))</f>
        <v/>
      </c>
      <c r="C371" s="85" t="str">
        <f aca="false">IF(A371="","",INDEX(Candidates!$D$1:$D$500,K371))</f>
        <v/>
      </c>
      <c r="D371" s="85" t="str">
        <f aca="false">IF(A371="","",L371)</f>
        <v/>
      </c>
      <c r="E371" s="85" t="str">
        <f aca="false">IF(A371="","",INDEX($O$2:$O$8,L371))</f>
        <v/>
      </c>
      <c r="F371" s="85" t="str">
        <f aca="false">IF(A371="","",IF(ISNUMBER(INDEX(Candidates!$A$1:$Z$500,K371,INDEX($P$2:$P$8,L371))),INDEX(Candidates!$A$1:$Z$500,K371,INDEX($P$2:$P$8,L371)),""))</f>
        <v/>
      </c>
      <c r="G371" s="85" t="str">
        <f aca="false">IF(A371="","",INDEX($Q$2:$Q$8,L371))</f>
        <v/>
      </c>
      <c r="H371" s="85" t="str">
        <f aca="false">IF(A371="","",IF(F371="","Not yet scored",IF(F371&gt;=G371,"Pass","Fail")))</f>
        <v/>
      </c>
      <c r="I371" s="85" t="str">
        <f aca="false">IF(A371="","",INDEX(Candidates!$B$1:$B$500,K371))</f>
        <v/>
      </c>
      <c r="K371" s="86" t="n">
        <f aca="false">INT((ROW()-2)/7)+2</f>
        <v>54</v>
      </c>
      <c r="L371" s="86" t="n">
        <f aca="false">MOD(ROW()-2,7)+1</f>
        <v>6</v>
      </c>
    </row>
    <row r="372" customFormat="false" ht="15" hidden="false" customHeight="false" outlineLevel="0" collapsed="false">
      <c r="A372" s="85" t="str">
        <f aca="false">IF(INDEX(Candidates!$A$1:$A$500,K372)="","",INDEX(Candidates!$A$1:$A$500,K372))</f>
        <v/>
      </c>
      <c r="B372" s="85" t="str">
        <f aca="false">IF(A372="","",INDEX(Candidates!$C$1:$C$500,K372))</f>
        <v/>
      </c>
      <c r="C372" s="85" t="str">
        <f aca="false">IF(A372="","",INDEX(Candidates!$D$1:$D$500,K372))</f>
        <v/>
      </c>
      <c r="D372" s="85" t="str">
        <f aca="false">IF(A372="","",L372)</f>
        <v/>
      </c>
      <c r="E372" s="85" t="str">
        <f aca="false">IF(A372="","",INDEX($O$2:$O$8,L372))</f>
        <v/>
      </c>
      <c r="F372" s="85" t="str">
        <f aca="false">IF(A372="","",IF(ISNUMBER(INDEX(Candidates!$A$1:$Z$500,K372,INDEX($P$2:$P$8,L372))),INDEX(Candidates!$A$1:$Z$500,K372,INDEX($P$2:$P$8,L372)),""))</f>
        <v/>
      </c>
      <c r="G372" s="85" t="str">
        <f aca="false">IF(A372="","",INDEX($Q$2:$Q$8,L372))</f>
        <v/>
      </c>
      <c r="H372" s="85" t="str">
        <f aca="false">IF(A372="","",IF(F372="","Not yet scored",IF(F372&gt;=G372,"Pass","Fail")))</f>
        <v/>
      </c>
      <c r="I372" s="85" t="str">
        <f aca="false">IF(A372="","",INDEX(Candidates!$B$1:$B$500,K372))</f>
        <v/>
      </c>
      <c r="K372" s="86" t="n">
        <f aca="false">INT((ROW()-2)/7)+2</f>
        <v>54</v>
      </c>
      <c r="L372" s="86" t="n">
        <f aca="false">MOD(ROW()-2,7)+1</f>
        <v>7</v>
      </c>
    </row>
    <row r="373" customFormat="false" ht="15" hidden="false" customHeight="false" outlineLevel="0" collapsed="false">
      <c r="A373" s="85" t="str">
        <f aca="false">IF(INDEX(Candidates!$A$1:$A$500,K373)="","",INDEX(Candidates!$A$1:$A$500,K373))</f>
        <v/>
      </c>
      <c r="B373" s="85" t="str">
        <f aca="false">IF(A373="","",INDEX(Candidates!$C$1:$C$500,K373))</f>
        <v/>
      </c>
      <c r="C373" s="85" t="str">
        <f aca="false">IF(A373="","",INDEX(Candidates!$D$1:$D$500,K373))</f>
        <v/>
      </c>
      <c r="D373" s="85" t="str">
        <f aca="false">IF(A373="","",L373)</f>
        <v/>
      </c>
      <c r="E373" s="85" t="str">
        <f aca="false">IF(A373="","",INDEX($O$2:$O$8,L373))</f>
        <v/>
      </c>
      <c r="F373" s="85" t="str">
        <f aca="false">IF(A373="","",IF(ISNUMBER(INDEX(Candidates!$A$1:$Z$500,K373,INDEX($P$2:$P$8,L373))),INDEX(Candidates!$A$1:$Z$500,K373,INDEX($P$2:$P$8,L373)),""))</f>
        <v/>
      </c>
      <c r="G373" s="85" t="str">
        <f aca="false">IF(A373="","",INDEX($Q$2:$Q$8,L373))</f>
        <v/>
      </c>
      <c r="H373" s="85" t="str">
        <f aca="false">IF(A373="","",IF(F373="","Not yet scored",IF(F373&gt;=G373,"Pass","Fail")))</f>
        <v/>
      </c>
      <c r="I373" s="85" t="str">
        <f aca="false">IF(A373="","",INDEX(Candidates!$B$1:$B$500,K373))</f>
        <v/>
      </c>
      <c r="K373" s="86" t="n">
        <f aca="false">INT((ROW()-2)/7)+2</f>
        <v>55</v>
      </c>
      <c r="L373" s="86" t="n">
        <f aca="false">MOD(ROW()-2,7)+1</f>
        <v>1</v>
      </c>
    </row>
    <row r="374" customFormat="false" ht="15" hidden="false" customHeight="false" outlineLevel="0" collapsed="false">
      <c r="A374" s="85" t="str">
        <f aca="false">IF(INDEX(Candidates!$A$1:$A$500,K374)="","",INDEX(Candidates!$A$1:$A$500,K374))</f>
        <v/>
      </c>
      <c r="B374" s="85" t="str">
        <f aca="false">IF(A374="","",INDEX(Candidates!$C$1:$C$500,K374))</f>
        <v/>
      </c>
      <c r="C374" s="85" t="str">
        <f aca="false">IF(A374="","",INDEX(Candidates!$D$1:$D$500,K374))</f>
        <v/>
      </c>
      <c r="D374" s="85" t="str">
        <f aca="false">IF(A374="","",L374)</f>
        <v/>
      </c>
      <c r="E374" s="85" t="str">
        <f aca="false">IF(A374="","",INDEX($O$2:$O$8,L374))</f>
        <v/>
      </c>
      <c r="F374" s="85" t="str">
        <f aca="false">IF(A374="","",IF(ISNUMBER(INDEX(Candidates!$A$1:$Z$500,K374,INDEX($P$2:$P$8,L374))),INDEX(Candidates!$A$1:$Z$500,K374,INDEX($P$2:$P$8,L374)),""))</f>
        <v/>
      </c>
      <c r="G374" s="85" t="str">
        <f aca="false">IF(A374="","",INDEX($Q$2:$Q$8,L374))</f>
        <v/>
      </c>
      <c r="H374" s="85" t="str">
        <f aca="false">IF(A374="","",IF(F374="","Not yet scored",IF(F374&gt;=G374,"Pass","Fail")))</f>
        <v/>
      </c>
      <c r="I374" s="85" t="str">
        <f aca="false">IF(A374="","",INDEX(Candidates!$B$1:$B$500,K374))</f>
        <v/>
      </c>
      <c r="K374" s="86" t="n">
        <f aca="false">INT((ROW()-2)/7)+2</f>
        <v>55</v>
      </c>
      <c r="L374" s="86" t="n">
        <f aca="false">MOD(ROW()-2,7)+1</f>
        <v>2</v>
      </c>
    </row>
    <row r="375" customFormat="false" ht="15" hidden="false" customHeight="false" outlineLevel="0" collapsed="false">
      <c r="A375" s="85" t="str">
        <f aca="false">IF(INDEX(Candidates!$A$1:$A$500,K375)="","",INDEX(Candidates!$A$1:$A$500,K375))</f>
        <v/>
      </c>
      <c r="B375" s="85" t="str">
        <f aca="false">IF(A375="","",INDEX(Candidates!$C$1:$C$500,K375))</f>
        <v/>
      </c>
      <c r="C375" s="85" t="str">
        <f aca="false">IF(A375="","",INDEX(Candidates!$D$1:$D$500,K375))</f>
        <v/>
      </c>
      <c r="D375" s="85" t="str">
        <f aca="false">IF(A375="","",L375)</f>
        <v/>
      </c>
      <c r="E375" s="85" t="str">
        <f aca="false">IF(A375="","",INDEX($O$2:$O$8,L375))</f>
        <v/>
      </c>
      <c r="F375" s="85" t="str">
        <f aca="false">IF(A375="","",IF(ISNUMBER(INDEX(Candidates!$A$1:$Z$500,K375,INDEX($P$2:$P$8,L375))),INDEX(Candidates!$A$1:$Z$500,K375,INDEX($P$2:$P$8,L375)),""))</f>
        <v/>
      </c>
      <c r="G375" s="85" t="str">
        <f aca="false">IF(A375="","",INDEX($Q$2:$Q$8,L375))</f>
        <v/>
      </c>
      <c r="H375" s="85" t="str">
        <f aca="false">IF(A375="","",IF(F375="","Not yet scored",IF(F375&gt;=G375,"Pass","Fail")))</f>
        <v/>
      </c>
      <c r="I375" s="85" t="str">
        <f aca="false">IF(A375="","",INDEX(Candidates!$B$1:$B$500,K375))</f>
        <v/>
      </c>
      <c r="K375" s="86" t="n">
        <f aca="false">INT((ROW()-2)/7)+2</f>
        <v>55</v>
      </c>
      <c r="L375" s="86" t="n">
        <f aca="false">MOD(ROW()-2,7)+1</f>
        <v>3</v>
      </c>
    </row>
    <row r="376" customFormat="false" ht="15" hidden="false" customHeight="false" outlineLevel="0" collapsed="false">
      <c r="A376" s="85" t="str">
        <f aca="false">IF(INDEX(Candidates!$A$1:$A$500,K376)="","",INDEX(Candidates!$A$1:$A$500,K376))</f>
        <v/>
      </c>
      <c r="B376" s="85" t="str">
        <f aca="false">IF(A376="","",INDEX(Candidates!$C$1:$C$500,K376))</f>
        <v/>
      </c>
      <c r="C376" s="85" t="str">
        <f aca="false">IF(A376="","",INDEX(Candidates!$D$1:$D$500,K376))</f>
        <v/>
      </c>
      <c r="D376" s="85" t="str">
        <f aca="false">IF(A376="","",L376)</f>
        <v/>
      </c>
      <c r="E376" s="85" t="str">
        <f aca="false">IF(A376="","",INDEX($O$2:$O$8,L376))</f>
        <v/>
      </c>
      <c r="F376" s="85" t="str">
        <f aca="false">IF(A376="","",IF(ISNUMBER(INDEX(Candidates!$A$1:$Z$500,K376,INDEX($P$2:$P$8,L376))),INDEX(Candidates!$A$1:$Z$500,K376,INDEX($P$2:$P$8,L376)),""))</f>
        <v/>
      </c>
      <c r="G376" s="85" t="str">
        <f aca="false">IF(A376="","",INDEX($Q$2:$Q$8,L376))</f>
        <v/>
      </c>
      <c r="H376" s="85" t="str">
        <f aca="false">IF(A376="","",IF(F376="","Not yet scored",IF(F376&gt;=G376,"Pass","Fail")))</f>
        <v/>
      </c>
      <c r="I376" s="85" t="str">
        <f aca="false">IF(A376="","",INDEX(Candidates!$B$1:$B$500,K376))</f>
        <v/>
      </c>
      <c r="K376" s="86" t="n">
        <f aca="false">INT((ROW()-2)/7)+2</f>
        <v>55</v>
      </c>
      <c r="L376" s="86" t="n">
        <f aca="false">MOD(ROW()-2,7)+1</f>
        <v>4</v>
      </c>
    </row>
    <row r="377" customFormat="false" ht="15" hidden="false" customHeight="false" outlineLevel="0" collapsed="false">
      <c r="A377" s="85" t="str">
        <f aca="false">IF(INDEX(Candidates!$A$1:$A$500,K377)="","",INDEX(Candidates!$A$1:$A$500,K377))</f>
        <v/>
      </c>
      <c r="B377" s="85" t="str">
        <f aca="false">IF(A377="","",INDEX(Candidates!$C$1:$C$500,K377))</f>
        <v/>
      </c>
      <c r="C377" s="85" t="str">
        <f aca="false">IF(A377="","",INDEX(Candidates!$D$1:$D$500,K377))</f>
        <v/>
      </c>
      <c r="D377" s="85" t="str">
        <f aca="false">IF(A377="","",L377)</f>
        <v/>
      </c>
      <c r="E377" s="85" t="str">
        <f aca="false">IF(A377="","",INDEX($O$2:$O$8,L377))</f>
        <v/>
      </c>
      <c r="F377" s="85" t="str">
        <f aca="false">IF(A377="","",IF(ISNUMBER(INDEX(Candidates!$A$1:$Z$500,K377,INDEX($P$2:$P$8,L377))),INDEX(Candidates!$A$1:$Z$500,K377,INDEX($P$2:$P$8,L377)),""))</f>
        <v/>
      </c>
      <c r="G377" s="85" t="str">
        <f aca="false">IF(A377="","",INDEX($Q$2:$Q$8,L377))</f>
        <v/>
      </c>
      <c r="H377" s="85" t="str">
        <f aca="false">IF(A377="","",IF(F377="","Not yet scored",IF(F377&gt;=G377,"Pass","Fail")))</f>
        <v/>
      </c>
      <c r="I377" s="85" t="str">
        <f aca="false">IF(A377="","",INDEX(Candidates!$B$1:$B$500,K377))</f>
        <v/>
      </c>
      <c r="K377" s="86" t="n">
        <f aca="false">INT((ROW()-2)/7)+2</f>
        <v>55</v>
      </c>
      <c r="L377" s="86" t="n">
        <f aca="false">MOD(ROW()-2,7)+1</f>
        <v>5</v>
      </c>
    </row>
    <row r="378" customFormat="false" ht="15" hidden="false" customHeight="false" outlineLevel="0" collapsed="false">
      <c r="A378" s="85" t="str">
        <f aca="false">IF(INDEX(Candidates!$A$1:$A$500,K378)="","",INDEX(Candidates!$A$1:$A$500,K378))</f>
        <v/>
      </c>
      <c r="B378" s="85" t="str">
        <f aca="false">IF(A378="","",INDEX(Candidates!$C$1:$C$500,K378))</f>
        <v/>
      </c>
      <c r="C378" s="85" t="str">
        <f aca="false">IF(A378="","",INDEX(Candidates!$D$1:$D$500,K378))</f>
        <v/>
      </c>
      <c r="D378" s="85" t="str">
        <f aca="false">IF(A378="","",L378)</f>
        <v/>
      </c>
      <c r="E378" s="85" t="str">
        <f aca="false">IF(A378="","",INDEX($O$2:$O$8,L378))</f>
        <v/>
      </c>
      <c r="F378" s="85" t="str">
        <f aca="false">IF(A378="","",IF(ISNUMBER(INDEX(Candidates!$A$1:$Z$500,K378,INDEX($P$2:$P$8,L378))),INDEX(Candidates!$A$1:$Z$500,K378,INDEX($P$2:$P$8,L378)),""))</f>
        <v/>
      </c>
      <c r="G378" s="85" t="str">
        <f aca="false">IF(A378="","",INDEX($Q$2:$Q$8,L378))</f>
        <v/>
      </c>
      <c r="H378" s="85" t="str">
        <f aca="false">IF(A378="","",IF(F378="","Not yet scored",IF(F378&gt;=G378,"Pass","Fail")))</f>
        <v/>
      </c>
      <c r="I378" s="85" t="str">
        <f aca="false">IF(A378="","",INDEX(Candidates!$B$1:$B$500,K378))</f>
        <v/>
      </c>
      <c r="K378" s="86" t="n">
        <f aca="false">INT((ROW()-2)/7)+2</f>
        <v>55</v>
      </c>
      <c r="L378" s="86" t="n">
        <f aca="false">MOD(ROW()-2,7)+1</f>
        <v>6</v>
      </c>
    </row>
    <row r="379" customFormat="false" ht="15" hidden="false" customHeight="false" outlineLevel="0" collapsed="false">
      <c r="A379" s="85" t="str">
        <f aca="false">IF(INDEX(Candidates!$A$1:$A$500,K379)="","",INDEX(Candidates!$A$1:$A$500,K379))</f>
        <v/>
      </c>
      <c r="B379" s="85" t="str">
        <f aca="false">IF(A379="","",INDEX(Candidates!$C$1:$C$500,K379))</f>
        <v/>
      </c>
      <c r="C379" s="85" t="str">
        <f aca="false">IF(A379="","",INDEX(Candidates!$D$1:$D$500,K379))</f>
        <v/>
      </c>
      <c r="D379" s="85" t="str">
        <f aca="false">IF(A379="","",L379)</f>
        <v/>
      </c>
      <c r="E379" s="85" t="str">
        <f aca="false">IF(A379="","",INDEX($O$2:$O$8,L379))</f>
        <v/>
      </c>
      <c r="F379" s="85" t="str">
        <f aca="false">IF(A379="","",IF(ISNUMBER(INDEX(Candidates!$A$1:$Z$500,K379,INDEX($P$2:$P$8,L379))),INDEX(Candidates!$A$1:$Z$500,K379,INDEX($P$2:$P$8,L379)),""))</f>
        <v/>
      </c>
      <c r="G379" s="85" t="str">
        <f aca="false">IF(A379="","",INDEX($Q$2:$Q$8,L379))</f>
        <v/>
      </c>
      <c r="H379" s="85" t="str">
        <f aca="false">IF(A379="","",IF(F379="","Not yet scored",IF(F379&gt;=G379,"Pass","Fail")))</f>
        <v/>
      </c>
      <c r="I379" s="85" t="str">
        <f aca="false">IF(A379="","",INDEX(Candidates!$B$1:$B$500,K379))</f>
        <v/>
      </c>
      <c r="K379" s="86" t="n">
        <f aca="false">INT((ROW()-2)/7)+2</f>
        <v>55</v>
      </c>
      <c r="L379" s="86" t="n">
        <f aca="false">MOD(ROW()-2,7)+1</f>
        <v>7</v>
      </c>
    </row>
    <row r="380" customFormat="false" ht="15" hidden="false" customHeight="false" outlineLevel="0" collapsed="false">
      <c r="A380" s="85" t="str">
        <f aca="false">IF(INDEX(Candidates!$A$1:$A$500,K380)="","",INDEX(Candidates!$A$1:$A$500,K380))</f>
        <v/>
      </c>
      <c r="B380" s="85" t="str">
        <f aca="false">IF(A380="","",INDEX(Candidates!$C$1:$C$500,K380))</f>
        <v/>
      </c>
      <c r="C380" s="85" t="str">
        <f aca="false">IF(A380="","",INDEX(Candidates!$D$1:$D$500,K380))</f>
        <v/>
      </c>
      <c r="D380" s="85" t="str">
        <f aca="false">IF(A380="","",L380)</f>
        <v/>
      </c>
      <c r="E380" s="85" t="str">
        <f aca="false">IF(A380="","",INDEX($O$2:$O$8,L380))</f>
        <v/>
      </c>
      <c r="F380" s="85" t="str">
        <f aca="false">IF(A380="","",IF(ISNUMBER(INDEX(Candidates!$A$1:$Z$500,K380,INDEX($P$2:$P$8,L380))),INDEX(Candidates!$A$1:$Z$500,K380,INDEX($P$2:$P$8,L380)),""))</f>
        <v/>
      </c>
      <c r="G380" s="85" t="str">
        <f aca="false">IF(A380="","",INDEX($Q$2:$Q$8,L380))</f>
        <v/>
      </c>
      <c r="H380" s="85" t="str">
        <f aca="false">IF(A380="","",IF(F380="","Not yet scored",IF(F380&gt;=G380,"Pass","Fail")))</f>
        <v/>
      </c>
      <c r="I380" s="85" t="str">
        <f aca="false">IF(A380="","",INDEX(Candidates!$B$1:$B$500,K380))</f>
        <v/>
      </c>
      <c r="K380" s="86" t="n">
        <f aca="false">INT((ROW()-2)/7)+2</f>
        <v>56</v>
      </c>
      <c r="L380" s="86" t="n">
        <f aca="false">MOD(ROW()-2,7)+1</f>
        <v>1</v>
      </c>
    </row>
    <row r="381" customFormat="false" ht="15" hidden="false" customHeight="false" outlineLevel="0" collapsed="false">
      <c r="A381" s="85" t="str">
        <f aca="false">IF(INDEX(Candidates!$A$1:$A$500,K381)="","",INDEX(Candidates!$A$1:$A$500,K381))</f>
        <v/>
      </c>
      <c r="B381" s="85" t="str">
        <f aca="false">IF(A381="","",INDEX(Candidates!$C$1:$C$500,K381))</f>
        <v/>
      </c>
      <c r="C381" s="85" t="str">
        <f aca="false">IF(A381="","",INDEX(Candidates!$D$1:$D$500,K381))</f>
        <v/>
      </c>
      <c r="D381" s="85" t="str">
        <f aca="false">IF(A381="","",L381)</f>
        <v/>
      </c>
      <c r="E381" s="85" t="str">
        <f aca="false">IF(A381="","",INDEX($O$2:$O$8,L381))</f>
        <v/>
      </c>
      <c r="F381" s="85" t="str">
        <f aca="false">IF(A381="","",IF(ISNUMBER(INDEX(Candidates!$A$1:$Z$500,K381,INDEX($P$2:$P$8,L381))),INDEX(Candidates!$A$1:$Z$500,K381,INDEX($P$2:$P$8,L381)),""))</f>
        <v/>
      </c>
      <c r="G381" s="85" t="str">
        <f aca="false">IF(A381="","",INDEX($Q$2:$Q$8,L381))</f>
        <v/>
      </c>
      <c r="H381" s="85" t="str">
        <f aca="false">IF(A381="","",IF(F381="","Not yet scored",IF(F381&gt;=G381,"Pass","Fail")))</f>
        <v/>
      </c>
      <c r="I381" s="85" t="str">
        <f aca="false">IF(A381="","",INDEX(Candidates!$B$1:$B$500,K381))</f>
        <v/>
      </c>
      <c r="K381" s="86" t="n">
        <f aca="false">INT((ROW()-2)/7)+2</f>
        <v>56</v>
      </c>
      <c r="L381" s="86" t="n">
        <f aca="false">MOD(ROW()-2,7)+1</f>
        <v>2</v>
      </c>
    </row>
    <row r="382" customFormat="false" ht="15" hidden="false" customHeight="false" outlineLevel="0" collapsed="false">
      <c r="A382" s="85" t="str">
        <f aca="false">IF(INDEX(Candidates!$A$1:$A$500,K382)="","",INDEX(Candidates!$A$1:$A$500,K382))</f>
        <v/>
      </c>
      <c r="B382" s="85" t="str">
        <f aca="false">IF(A382="","",INDEX(Candidates!$C$1:$C$500,K382))</f>
        <v/>
      </c>
      <c r="C382" s="85" t="str">
        <f aca="false">IF(A382="","",INDEX(Candidates!$D$1:$D$500,K382))</f>
        <v/>
      </c>
      <c r="D382" s="85" t="str">
        <f aca="false">IF(A382="","",L382)</f>
        <v/>
      </c>
      <c r="E382" s="85" t="str">
        <f aca="false">IF(A382="","",INDEX($O$2:$O$8,L382))</f>
        <v/>
      </c>
      <c r="F382" s="85" t="str">
        <f aca="false">IF(A382="","",IF(ISNUMBER(INDEX(Candidates!$A$1:$Z$500,K382,INDEX($P$2:$P$8,L382))),INDEX(Candidates!$A$1:$Z$500,K382,INDEX($P$2:$P$8,L382)),""))</f>
        <v/>
      </c>
      <c r="G382" s="85" t="str">
        <f aca="false">IF(A382="","",INDEX($Q$2:$Q$8,L382))</f>
        <v/>
      </c>
      <c r="H382" s="85" t="str">
        <f aca="false">IF(A382="","",IF(F382="","Not yet scored",IF(F382&gt;=G382,"Pass","Fail")))</f>
        <v/>
      </c>
      <c r="I382" s="85" t="str">
        <f aca="false">IF(A382="","",INDEX(Candidates!$B$1:$B$500,K382))</f>
        <v/>
      </c>
      <c r="K382" s="86" t="n">
        <f aca="false">INT((ROW()-2)/7)+2</f>
        <v>56</v>
      </c>
      <c r="L382" s="86" t="n">
        <f aca="false">MOD(ROW()-2,7)+1</f>
        <v>3</v>
      </c>
    </row>
    <row r="383" customFormat="false" ht="15" hidden="false" customHeight="false" outlineLevel="0" collapsed="false">
      <c r="A383" s="85" t="str">
        <f aca="false">IF(INDEX(Candidates!$A$1:$A$500,K383)="","",INDEX(Candidates!$A$1:$A$500,K383))</f>
        <v/>
      </c>
      <c r="B383" s="85" t="str">
        <f aca="false">IF(A383="","",INDEX(Candidates!$C$1:$C$500,K383))</f>
        <v/>
      </c>
      <c r="C383" s="85" t="str">
        <f aca="false">IF(A383="","",INDEX(Candidates!$D$1:$D$500,K383))</f>
        <v/>
      </c>
      <c r="D383" s="85" t="str">
        <f aca="false">IF(A383="","",L383)</f>
        <v/>
      </c>
      <c r="E383" s="85" t="str">
        <f aca="false">IF(A383="","",INDEX($O$2:$O$8,L383))</f>
        <v/>
      </c>
      <c r="F383" s="85" t="str">
        <f aca="false">IF(A383="","",IF(ISNUMBER(INDEX(Candidates!$A$1:$Z$500,K383,INDEX($P$2:$P$8,L383))),INDEX(Candidates!$A$1:$Z$500,K383,INDEX($P$2:$P$8,L383)),""))</f>
        <v/>
      </c>
      <c r="G383" s="85" t="str">
        <f aca="false">IF(A383="","",INDEX($Q$2:$Q$8,L383))</f>
        <v/>
      </c>
      <c r="H383" s="85" t="str">
        <f aca="false">IF(A383="","",IF(F383="","Not yet scored",IF(F383&gt;=G383,"Pass","Fail")))</f>
        <v/>
      </c>
      <c r="I383" s="85" t="str">
        <f aca="false">IF(A383="","",INDEX(Candidates!$B$1:$B$500,K383))</f>
        <v/>
      </c>
      <c r="K383" s="86" t="n">
        <f aca="false">INT((ROW()-2)/7)+2</f>
        <v>56</v>
      </c>
      <c r="L383" s="86" t="n">
        <f aca="false">MOD(ROW()-2,7)+1</f>
        <v>4</v>
      </c>
    </row>
    <row r="384" customFormat="false" ht="15" hidden="false" customHeight="false" outlineLevel="0" collapsed="false">
      <c r="A384" s="85" t="str">
        <f aca="false">IF(INDEX(Candidates!$A$1:$A$500,K384)="","",INDEX(Candidates!$A$1:$A$500,K384))</f>
        <v/>
      </c>
      <c r="B384" s="85" t="str">
        <f aca="false">IF(A384="","",INDEX(Candidates!$C$1:$C$500,K384))</f>
        <v/>
      </c>
      <c r="C384" s="85" t="str">
        <f aca="false">IF(A384="","",INDEX(Candidates!$D$1:$D$500,K384))</f>
        <v/>
      </c>
      <c r="D384" s="85" t="str">
        <f aca="false">IF(A384="","",L384)</f>
        <v/>
      </c>
      <c r="E384" s="85" t="str">
        <f aca="false">IF(A384="","",INDEX($O$2:$O$8,L384))</f>
        <v/>
      </c>
      <c r="F384" s="85" t="str">
        <f aca="false">IF(A384="","",IF(ISNUMBER(INDEX(Candidates!$A$1:$Z$500,K384,INDEX($P$2:$P$8,L384))),INDEX(Candidates!$A$1:$Z$500,K384,INDEX($P$2:$P$8,L384)),""))</f>
        <v/>
      </c>
      <c r="G384" s="85" t="str">
        <f aca="false">IF(A384="","",INDEX($Q$2:$Q$8,L384))</f>
        <v/>
      </c>
      <c r="H384" s="85" t="str">
        <f aca="false">IF(A384="","",IF(F384="","Not yet scored",IF(F384&gt;=G384,"Pass","Fail")))</f>
        <v/>
      </c>
      <c r="I384" s="85" t="str">
        <f aca="false">IF(A384="","",INDEX(Candidates!$B$1:$B$500,K384))</f>
        <v/>
      </c>
      <c r="K384" s="86" t="n">
        <f aca="false">INT((ROW()-2)/7)+2</f>
        <v>56</v>
      </c>
      <c r="L384" s="86" t="n">
        <f aca="false">MOD(ROW()-2,7)+1</f>
        <v>5</v>
      </c>
    </row>
    <row r="385" customFormat="false" ht="15" hidden="false" customHeight="false" outlineLevel="0" collapsed="false">
      <c r="A385" s="85" t="str">
        <f aca="false">IF(INDEX(Candidates!$A$1:$A$500,K385)="","",INDEX(Candidates!$A$1:$A$500,K385))</f>
        <v/>
      </c>
      <c r="B385" s="85" t="str">
        <f aca="false">IF(A385="","",INDEX(Candidates!$C$1:$C$500,K385))</f>
        <v/>
      </c>
      <c r="C385" s="85" t="str">
        <f aca="false">IF(A385="","",INDEX(Candidates!$D$1:$D$500,K385))</f>
        <v/>
      </c>
      <c r="D385" s="85" t="str">
        <f aca="false">IF(A385="","",L385)</f>
        <v/>
      </c>
      <c r="E385" s="85" t="str">
        <f aca="false">IF(A385="","",INDEX($O$2:$O$8,L385))</f>
        <v/>
      </c>
      <c r="F385" s="85" t="str">
        <f aca="false">IF(A385="","",IF(ISNUMBER(INDEX(Candidates!$A$1:$Z$500,K385,INDEX($P$2:$P$8,L385))),INDEX(Candidates!$A$1:$Z$500,K385,INDEX($P$2:$P$8,L385)),""))</f>
        <v/>
      </c>
      <c r="G385" s="85" t="str">
        <f aca="false">IF(A385="","",INDEX($Q$2:$Q$8,L385))</f>
        <v/>
      </c>
      <c r="H385" s="85" t="str">
        <f aca="false">IF(A385="","",IF(F385="","Not yet scored",IF(F385&gt;=G385,"Pass","Fail")))</f>
        <v/>
      </c>
      <c r="I385" s="85" t="str">
        <f aca="false">IF(A385="","",INDEX(Candidates!$B$1:$B$500,K385))</f>
        <v/>
      </c>
      <c r="K385" s="86" t="n">
        <f aca="false">INT((ROW()-2)/7)+2</f>
        <v>56</v>
      </c>
      <c r="L385" s="86" t="n">
        <f aca="false">MOD(ROW()-2,7)+1</f>
        <v>6</v>
      </c>
    </row>
    <row r="386" customFormat="false" ht="15" hidden="false" customHeight="false" outlineLevel="0" collapsed="false">
      <c r="A386" s="85" t="str">
        <f aca="false">IF(INDEX(Candidates!$A$1:$A$500,K386)="","",INDEX(Candidates!$A$1:$A$500,K386))</f>
        <v/>
      </c>
      <c r="B386" s="85" t="str">
        <f aca="false">IF(A386="","",INDEX(Candidates!$C$1:$C$500,K386))</f>
        <v/>
      </c>
      <c r="C386" s="85" t="str">
        <f aca="false">IF(A386="","",INDEX(Candidates!$D$1:$D$500,K386))</f>
        <v/>
      </c>
      <c r="D386" s="85" t="str">
        <f aca="false">IF(A386="","",L386)</f>
        <v/>
      </c>
      <c r="E386" s="85" t="str">
        <f aca="false">IF(A386="","",INDEX($O$2:$O$8,L386))</f>
        <v/>
      </c>
      <c r="F386" s="85" t="str">
        <f aca="false">IF(A386="","",IF(ISNUMBER(INDEX(Candidates!$A$1:$Z$500,K386,INDEX($P$2:$P$8,L386))),INDEX(Candidates!$A$1:$Z$500,K386,INDEX($P$2:$P$8,L386)),""))</f>
        <v/>
      </c>
      <c r="G386" s="85" t="str">
        <f aca="false">IF(A386="","",INDEX($Q$2:$Q$8,L386))</f>
        <v/>
      </c>
      <c r="H386" s="85" t="str">
        <f aca="false">IF(A386="","",IF(F386="","Not yet scored",IF(F386&gt;=G386,"Pass","Fail")))</f>
        <v/>
      </c>
      <c r="I386" s="85" t="str">
        <f aca="false">IF(A386="","",INDEX(Candidates!$B$1:$B$500,K386))</f>
        <v/>
      </c>
      <c r="K386" s="86" t="n">
        <f aca="false">INT((ROW()-2)/7)+2</f>
        <v>56</v>
      </c>
      <c r="L386" s="86" t="n">
        <f aca="false">MOD(ROW()-2,7)+1</f>
        <v>7</v>
      </c>
    </row>
    <row r="387" customFormat="false" ht="15" hidden="false" customHeight="false" outlineLevel="0" collapsed="false">
      <c r="A387" s="85" t="str">
        <f aca="false">IF(INDEX(Candidates!$A$1:$A$500,K387)="","",INDEX(Candidates!$A$1:$A$500,K387))</f>
        <v/>
      </c>
      <c r="B387" s="85" t="str">
        <f aca="false">IF(A387="","",INDEX(Candidates!$C$1:$C$500,K387))</f>
        <v/>
      </c>
      <c r="C387" s="85" t="str">
        <f aca="false">IF(A387="","",INDEX(Candidates!$D$1:$D$500,K387))</f>
        <v/>
      </c>
      <c r="D387" s="85" t="str">
        <f aca="false">IF(A387="","",L387)</f>
        <v/>
      </c>
      <c r="E387" s="85" t="str">
        <f aca="false">IF(A387="","",INDEX($O$2:$O$8,L387))</f>
        <v/>
      </c>
      <c r="F387" s="85" t="str">
        <f aca="false">IF(A387="","",IF(ISNUMBER(INDEX(Candidates!$A$1:$Z$500,K387,INDEX($P$2:$P$8,L387))),INDEX(Candidates!$A$1:$Z$500,K387,INDEX($P$2:$P$8,L387)),""))</f>
        <v/>
      </c>
      <c r="G387" s="85" t="str">
        <f aca="false">IF(A387="","",INDEX($Q$2:$Q$8,L387))</f>
        <v/>
      </c>
      <c r="H387" s="85" t="str">
        <f aca="false">IF(A387="","",IF(F387="","Not yet scored",IF(F387&gt;=G387,"Pass","Fail")))</f>
        <v/>
      </c>
      <c r="I387" s="85" t="str">
        <f aca="false">IF(A387="","",INDEX(Candidates!$B$1:$B$500,K387))</f>
        <v/>
      </c>
      <c r="K387" s="86" t="n">
        <f aca="false">INT((ROW()-2)/7)+2</f>
        <v>57</v>
      </c>
      <c r="L387" s="86" t="n">
        <f aca="false">MOD(ROW()-2,7)+1</f>
        <v>1</v>
      </c>
    </row>
    <row r="388" customFormat="false" ht="15" hidden="false" customHeight="false" outlineLevel="0" collapsed="false">
      <c r="A388" s="85" t="str">
        <f aca="false">IF(INDEX(Candidates!$A$1:$A$500,K388)="","",INDEX(Candidates!$A$1:$A$500,K388))</f>
        <v/>
      </c>
      <c r="B388" s="85" t="str">
        <f aca="false">IF(A388="","",INDEX(Candidates!$C$1:$C$500,K388))</f>
        <v/>
      </c>
      <c r="C388" s="85" t="str">
        <f aca="false">IF(A388="","",INDEX(Candidates!$D$1:$D$500,K388))</f>
        <v/>
      </c>
      <c r="D388" s="85" t="str">
        <f aca="false">IF(A388="","",L388)</f>
        <v/>
      </c>
      <c r="E388" s="85" t="str">
        <f aca="false">IF(A388="","",INDEX($O$2:$O$8,L388))</f>
        <v/>
      </c>
      <c r="F388" s="85" t="str">
        <f aca="false">IF(A388="","",IF(ISNUMBER(INDEX(Candidates!$A$1:$Z$500,K388,INDEX($P$2:$P$8,L388))),INDEX(Candidates!$A$1:$Z$500,K388,INDEX($P$2:$P$8,L388)),""))</f>
        <v/>
      </c>
      <c r="G388" s="85" t="str">
        <f aca="false">IF(A388="","",INDEX($Q$2:$Q$8,L388))</f>
        <v/>
      </c>
      <c r="H388" s="85" t="str">
        <f aca="false">IF(A388="","",IF(F388="","Not yet scored",IF(F388&gt;=G388,"Pass","Fail")))</f>
        <v/>
      </c>
      <c r="I388" s="85" t="str">
        <f aca="false">IF(A388="","",INDEX(Candidates!$B$1:$B$500,K388))</f>
        <v/>
      </c>
      <c r="K388" s="86" t="n">
        <f aca="false">INT((ROW()-2)/7)+2</f>
        <v>57</v>
      </c>
      <c r="L388" s="86" t="n">
        <f aca="false">MOD(ROW()-2,7)+1</f>
        <v>2</v>
      </c>
    </row>
    <row r="389" customFormat="false" ht="15" hidden="false" customHeight="false" outlineLevel="0" collapsed="false">
      <c r="A389" s="85" t="str">
        <f aca="false">IF(INDEX(Candidates!$A$1:$A$500,K389)="","",INDEX(Candidates!$A$1:$A$500,K389))</f>
        <v/>
      </c>
      <c r="B389" s="85" t="str">
        <f aca="false">IF(A389="","",INDEX(Candidates!$C$1:$C$500,K389))</f>
        <v/>
      </c>
      <c r="C389" s="85" t="str">
        <f aca="false">IF(A389="","",INDEX(Candidates!$D$1:$D$500,K389))</f>
        <v/>
      </c>
      <c r="D389" s="85" t="str">
        <f aca="false">IF(A389="","",L389)</f>
        <v/>
      </c>
      <c r="E389" s="85" t="str">
        <f aca="false">IF(A389="","",INDEX($O$2:$O$8,L389))</f>
        <v/>
      </c>
      <c r="F389" s="85" t="str">
        <f aca="false">IF(A389="","",IF(ISNUMBER(INDEX(Candidates!$A$1:$Z$500,K389,INDEX($P$2:$P$8,L389))),INDEX(Candidates!$A$1:$Z$500,K389,INDEX($P$2:$P$8,L389)),""))</f>
        <v/>
      </c>
      <c r="G389" s="85" t="str">
        <f aca="false">IF(A389="","",INDEX($Q$2:$Q$8,L389))</f>
        <v/>
      </c>
      <c r="H389" s="85" t="str">
        <f aca="false">IF(A389="","",IF(F389="","Not yet scored",IF(F389&gt;=G389,"Pass","Fail")))</f>
        <v/>
      </c>
      <c r="I389" s="85" t="str">
        <f aca="false">IF(A389="","",INDEX(Candidates!$B$1:$B$500,K389))</f>
        <v/>
      </c>
      <c r="K389" s="86" t="n">
        <f aca="false">INT((ROW()-2)/7)+2</f>
        <v>57</v>
      </c>
      <c r="L389" s="86" t="n">
        <f aca="false">MOD(ROW()-2,7)+1</f>
        <v>3</v>
      </c>
    </row>
    <row r="390" customFormat="false" ht="15" hidden="false" customHeight="false" outlineLevel="0" collapsed="false">
      <c r="A390" s="85" t="str">
        <f aca="false">IF(INDEX(Candidates!$A$1:$A$500,K390)="","",INDEX(Candidates!$A$1:$A$500,K390))</f>
        <v/>
      </c>
      <c r="B390" s="85" t="str">
        <f aca="false">IF(A390="","",INDEX(Candidates!$C$1:$C$500,K390))</f>
        <v/>
      </c>
      <c r="C390" s="85" t="str">
        <f aca="false">IF(A390="","",INDEX(Candidates!$D$1:$D$500,K390))</f>
        <v/>
      </c>
      <c r="D390" s="85" t="str">
        <f aca="false">IF(A390="","",L390)</f>
        <v/>
      </c>
      <c r="E390" s="85" t="str">
        <f aca="false">IF(A390="","",INDEX($O$2:$O$8,L390))</f>
        <v/>
      </c>
      <c r="F390" s="85" t="str">
        <f aca="false">IF(A390="","",IF(ISNUMBER(INDEX(Candidates!$A$1:$Z$500,K390,INDEX($P$2:$P$8,L390))),INDEX(Candidates!$A$1:$Z$500,K390,INDEX($P$2:$P$8,L390)),""))</f>
        <v/>
      </c>
      <c r="G390" s="85" t="str">
        <f aca="false">IF(A390="","",INDEX($Q$2:$Q$8,L390))</f>
        <v/>
      </c>
      <c r="H390" s="85" t="str">
        <f aca="false">IF(A390="","",IF(F390="","Not yet scored",IF(F390&gt;=G390,"Pass","Fail")))</f>
        <v/>
      </c>
      <c r="I390" s="85" t="str">
        <f aca="false">IF(A390="","",INDEX(Candidates!$B$1:$B$500,K390))</f>
        <v/>
      </c>
      <c r="K390" s="86" t="n">
        <f aca="false">INT((ROW()-2)/7)+2</f>
        <v>57</v>
      </c>
      <c r="L390" s="86" t="n">
        <f aca="false">MOD(ROW()-2,7)+1</f>
        <v>4</v>
      </c>
    </row>
    <row r="391" customFormat="false" ht="15" hidden="false" customHeight="false" outlineLevel="0" collapsed="false">
      <c r="A391" s="85" t="str">
        <f aca="false">IF(INDEX(Candidates!$A$1:$A$500,K391)="","",INDEX(Candidates!$A$1:$A$500,K391))</f>
        <v/>
      </c>
      <c r="B391" s="85" t="str">
        <f aca="false">IF(A391="","",INDEX(Candidates!$C$1:$C$500,K391))</f>
        <v/>
      </c>
      <c r="C391" s="85" t="str">
        <f aca="false">IF(A391="","",INDEX(Candidates!$D$1:$D$500,K391))</f>
        <v/>
      </c>
      <c r="D391" s="85" t="str">
        <f aca="false">IF(A391="","",L391)</f>
        <v/>
      </c>
      <c r="E391" s="85" t="str">
        <f aca="false">IF(A391="","",INDEX($O$2:$O$8,L391))</f>
        <v/>
      </c>
      <c r="F391" s="85" t="str">
        <f aca="false">IF(A391="","",IF(ISNUMBER(INDEX(Candidates!$A$1:$Z$500,K391,INDEX($P$2:$P$8,L391))),INDEX(Candidates!$A$1:$Z$500,K391,INDEX($P$2:$P$8,L391)),""))</f>
        <v/>
      </c>
      <c r="G391" s="85" t="str">
        <f aca="false">IF(A391="","",INDEX($Q$2:$Q$8,L391))</f>
        <v/>
      </c>
      <c r="H391" s="85" t="str">
        <f aca="false">IF(A391="","",IF(F391="","Not yet scored",IF(F391&gt;=G391,"Pass","Fail")))</f>
        <v/>
      </c>
      <c r="I391" s="85" t="str">
        <f aca="false">IF(A391="","",INDEX(Candidates!$B$1:$B$500,K391))</f>
        <v/>
      </c>
      <c r="K391" s="86" t="n">
        <f aca="false">INT((ROW()-2)/7)+2</f>
        <v>57</v>
      </c>
      <c r="L391" s="86" t="n">
        <f aca="false">MOD(ROW()-2,7)+1</f>
        <v>5</v>
      </c>
    </row>
    <row r="392" customFormat="false" ht="15" hidden="false" customHeight="false" outlineLevel="0" collapsed="false">
      <c r="A392" s="85" t="str">
        <f aca="false">IF(INDEX(Candidates!$A$1:$A$500,K392)="","",INDEX(Candidates!$A$1:$A$500,K392))</f>
        <v/>
      </c>
      <c r="B392" s="85" t="str">
        <f aca="false">IF(A392="","",INDEX(Candidates!$C$1:$C$500,K392))</f>
        <v/>
      </c>
      <c r="C392" s="85" t="str">
        <f aca="false">IF(A392="","",INDEX(Candidates!$D$1:$D$500,K392))</f>
        <v/>
      </c>
      <c r="D392" s="85" t="str">
        <f aca="false">IF(A392="","",L392)</f>
        <v/>
      </c>
      <c r="E392" s="85" t="str">
        <f aca="false">IF(A392="","",INDEX($O$2:$O$8,L392))</f>
        <v/>
      </c>
      <c r="F392" s="85" t="str">
        <f aca="false">IF(A392="","",IF(ISNUMBER(INDEX(Candidates!$A$1:$Z$500,K392,INDEX($P$2:$P$8,L392))),INDEX(Candidates!$A$1:$Z$500,K392,INDEX($P$2:$P$8,L392)),""))</f>
        <v/>
      </c>
      <c r="G392" s="85" t="str">
        <f aca="false">IF(A392="","",INDEX($Q$2:$Q$8,L392))</f>
        <v/>
      </c>
      <c r="H392" s="85" t="str">
        <f aca="false">IF(A392="","",IF(F392="","Not yet scored",IF(F392&gt;=G392,"Pass","Fail")))</f>
        <v/>
      </c>
      <c r="I392" s="85" t="str">
        <f aca="false">IF(A392="","",INDEX(Candidates!$B$1:$B$500,K392))</f>
        <v/>
      </c>
      <c r="K392" s="86" t="n">
        <f aca="false">INT((ROW()-2)/7)+2</f>
        <v>57</v>
      </c>
      <c r="L392" s="86" t="n">
        <f aca="false">MOD(ROW()-2,7)+1</f>
        <v>6</v>
      </c>
    </row>
    <row r="393" customFormat="false" ht="15" hidden="false" customHeight="false" outlineLevel="0" collapsed="false">
      <c r="A393" s="85" t="str">
        <f aca="false">IF(INDEX(Candidates!$A$1:$A$500,K393)="","",INDEX(Candidates!$A$1:$A$500,K393))</f>
        <v/>
      </c>
      <c r="B393" s="85" t="str">
        <f aca="false">IF(A393="","",INDEX(Candidates!$C$1:$C$500,K393))</f>
        <v/>
      </c>
      <c r="C393" s="85" t="str">
        <f aca="false">IF(A393="","",INDEX(Candidates!$D$1:$D$500,K393))</f>
        <v/>
      </c>
      <c r="D393" s="85" t="str">
        <f aca="false">IF(A393="","",L393)</f>
        <v/>
      </c>
      <c r="E393" s="85" t="str">
        <f aca="false">IF(A393="","",INDEX($O$2:$O$8,L393))</f>
        <v/>
      </c>
      <c r="F393" s="85" t="str">
        <f aca="false">IF(A393="","",IF(ISNUMBER(INDEX(Candidates!$A$1:$Z$500,K393,INDEX($P$2:$P$8,L393))),INDEX(Candidates!$A$1:$Z$500,K393,INDEX($P$2:$P$8,L393)),""))</f>
        <v/>
      </c>
      <c r="G393" s="85" t="str">
        <f aca="false">IF(A393="","",INDEX($Q$2:$Q$8,L393))</f>
        <v/>
      </c>
      <c r="H393" s="85" t="str">
        <f aca="false">IF(A393="","",IF(F393="","Not yet scored",IF(F393&gt;=G393,"Pass","Fail")))</f>
        <v/>
      </c>
      <c r="I393" s="85" t="str">
        <f aca="false">IF(A393="","",INDEX(Candidates!$B$1:$B$500,K393))</f>
        <v/>
      </c>
      <c r="K393" s="86" t="n">
        <f aca="false">INT((ROW()-2)/7)+2</f>
        <v>57</v>
      </c>
      <c r="L393" s="86" t="n">
        <f aca="false">MOD(ROW()-2,7)+1</f>
        <v>7</v>
      </c>
    </row>
    <row r="394" customFormat="false" ht="15" hidden="false" customHeight="false" outlineLevel="0" collapsed="false">
      <c r="A394" s="85" t="str">
        <f aca="false">IF(INDEX(Candidates!$A$1:$A$500,K394)="","",INDEX(Candidates!$A$1:$A$500,K394))</f>
        <v/>
      </c>
      <c r="B394" s="85" t="str">
        <f aca="false">IF(A394="","",INDEX(Candidates!$C$1:$C$500,K394))</f>
        <v/>
      </c>
      <c r="C394" s="85" t="str">
        <f aca="false">IF(A394="","",INDEX(Candidates!$D$1:$D$500,K394))</f>
        <v/>
      </c>
      <c r="D394" s="85" t="str">
        <f aca="false">IF(A394="","",L394)</f>
        <v/>
      </c>
      <c r="E394" s="85" t="str">
        <f aca="false">IF(A394="","",INDEX($O$2:$O$8,L394))</f>
        <v/>
      </c>
      <c r="F394" s="85" t="str">
        <f aca="false">IF(A394="","",IF(ISNUMBER(INDEX(Candidates!$A$1:$Z$500,K394,INDEX($P$2:$P$8,L394))),INDEX(Candidates!$A$1:$Z$500,K394,INDEX($P$2:$P$8,L394)),""))</f>
        <v/>
      </c>
      <c r="G394" s="85" t="str">
        <f aca="false">IF(A394="","",INDEX($Q$2:$Q$8,L394))</f>
        <v/>
      </c>
      <c r="H394" s="85" t="str">
        <f aca="false">IF(A394="","",IF(F394="","Not yet scored",IF(F394&gt;=G394,"Pass","Fail")))</f>
        <v/>
      </c>
      <c r="I394" s="85" t="str">
        <f aca="false">IF(A394="","",INDEX(Candidates!$B$1:$B$500,K394))</f>
        <v/>
      </c>
      <c r="K394" s="86" t="n">
        <f aca="false">INT((ROW()-2)/7)+2</f>
        <v>58</v>
      </c>
      <c r="L394" s="86" t="n">
        <f aca="false">MOD(ROW()-2,7)+1</f>
        <v>1</v>
      </c>
    </row>
    <row r="395" customFormat="false" ht="15" hidden="false" customHeight="false" outlineLevel="0" collapsed="false">
      <c r="A395" s="85" t="str">
        <f aca="false">IF(INDEX(Candidates!$A$1:$A$500,K395)="","",INDEX(Candidates!$A$1:$A$500,K395))</f>
        <v/>
      </c>
      <c r="B395" s="85" t="str">
        <f aca="false">IF(A395="","",INDEX(Candidates!$C$1:$C$500,K395))</f>
        <v/>
      </c>
      <c r="C395" s="85" t="str">
        <f aca="false">IF(A395="","",INDEX(Candidates!$D$1:$D$500,K395))</f>
        <v/>
      </c>
      <c r="D395" s="85" t="str">
        <f aca="false">IF(A395="","",L395)</f>
        <v/>
      </c>
      <c r="E395" s="85" t="str">
        <f aca="false">IF(A395="","",INDEX($O$2:$O$8,L395))</f>
        <v/>
      </c>
      <c r="F395" s="85" t="str">
        <f aca="false">IF(A395="","",IF(ISNUMBER(INDEX(Candidates!$A$1:$Z$500,K395,INDEX($P$2:$P$8,L395))),INDEX(Candidates!$A$1:$Z$500,K395,INDEX($P$2:$P$8,L395)),""))</f>
        <v/>
      </c>
      <c r="G395" s="85" t="str">
        <f aca="false">IF(A395="","",INDEX($Q$2:$Q$8,L395))</f>
        <v/>
      </c>
      <c r="H395" s="85" t="str">
        <f aca="false">IF(A395="","",IF(F395="","Not yet scored",IF(F395&gt;=G395,"Pass","Fail")))</f>
        <v/>
      </c>
      <c r="I395" s="85" t="str">
        <f aca="false">IF(A395="","",INDEX(Candidates!$B$1:$B$500,K395))</f>
        <v/>
      </c>
      <c r="K395" s="86" t="n">
        <f aca="false">INT((ROW()-2)/7)+2</f>
        <v>58</v>
      </c>
      <c r="L395" s="86" t="n">
        <f aca="false">MOD(ROW()-2,7)+1</f>
        <v>2</v>
      </c>
    </row>
    <row r="396" customFormat="false" ht="15" hidden="false" customHeight="false" outlineLevel="0" collapsed="false">
      <c r="A396" s="85" t="str">
        <f aca="false">IF(INDEX(Candidates!$A$1:$A$500,K396)="","",INDEX(Candidates!$A$1:$A$500,K396))</f>
        <v/>
      </c>
      <c r="B396" s="85" t="str">
        <f aca="false">IF(A396="","",INDEX(Candidates!$C$1:$C$500,K396))</f>
        <v/>
      </c>
      <c r="C396" s="85" t="str">
        <f aca="false">IF(A396="","",INDEX(Candidates!$D$1:$D$500,K396))</f>
        <v/>
      </c>
      <c r="D396" s="85" t="str">
        <f aca="false">IF(A396="","",L396)</f>
        <v/>
      </c>
      <c r="E396" s="85" t="str">
        <f aca="false">IF(A396="","",INDEX($O$2:$O$8,L396))</f>
        <v/>
      </c>
      <c r="F396" s="85" t="str">
        <f aca="false">IF(A396="","",IF(ISNUMBER(INDEX(Candidates!$A$1:$Z$500,K396,INDEX($P$2:$P$8,L396))),INDEX(Candidates!$A$1:$Z$500,K396,INDEX($P$2:$P$8,L396)),""))</f>
        <v/>
      </c>
      <c r="G396" s="85" t="str">
        <f aca="false">IF(A396="","",INDEX($Q$2:$Q$8,L396))</f>
        <v/>
      </c>
      <c r="H396" s="85" t="str">
        <f aca="false">IF(A396="","",IF(F396="","Not yet scored",IF(F396&gt;=G396,"Pass","Fail")))</f>
        <v/>
      </c>
      <c r="I396" s="85" t="str">
        <f aca="false">IF(A396="","",INDEX(Candidates!$B$1:$B$500,K396))</f>
        <v/>
      </c>
      <c r="K396" s="86" t="n">
        <f aca="false">INT((ROW()-2)/7)+2</f>
        <v>58</v>
      </c>
      <c r="L396" s="86" t="n">
        <f aca="false">MOD(ROW()-2,7)+1</f>
        <v>3</v>
      </c>
    </row>
    <row r="397" customFormat="false" ht="15" hidden="false" customHeight="false" outlineLevel="0" collapsed="false">
      <c r="A397" s="85" t="str">
        <f aca="false">IF(INDEX(Candidates!$A$1:$A$500,K397)="","",INDEX(Candidates!$A$1:$A$500,K397))</f>
        <v/>
      </c>
      <c r="B397" s="85" t="str">
        <f aca="false">IF(A397="","",INDEX(Candidates!$C$1:$C$500,K397))</f>
        <v/>
      </c>
      <c r="C397" s="85" t="str">
        <f aca="false">IF(A397="","",INDEX(Candidates!$D$1:$D$500,K397))</f>
        <v/>
      </c>
      <c r="D397" s="85" t="str">
        <f aca="false">IF(A397="","",L397)</f>
        <v/>
      </c>
      <c r="E397" s="85" t="str">
        <f aca="false">IF(A397="","",INDEX($O$2:$O$8,L397))</f>
        <v/>
      </c>
      <c r="F397" s="85" t="str">
        <f aca="false">IF(A397="","",IF(ISNUMBER(INDEX(Candidates!$A$1:$Z$500,K397,INDEX($P$2:$P$8,L397))),INDEX(Candidates!$A$1:$Z$500,K397,INDEX($P$2:$P$8,L397)),""))</f>
        <v/>
      </c>
      <c r="G397" s="85" t="str">
        <f aca="false">IF(A397="","",INDEX($Q$2:$Q$8,L397))</f>
        <v/>
      </c>
      <c r="H397" s="85" t="str">
        <f aca="false">IF(A397="","",IF(F397="","Not yet scored",IF(F397&gt;=G397,"Pass","Fail")))</f>
        <v/>
      </c>
      <c r="I397" s="85" t="str">
        <f aca="false">IF(A397="","",INDEX(Candidates!$B$1:$B$500,K397))</f>
        <v/>
      </c>
      <c r="K397" s="86" t="n">
        <f aca="false">INT((ROW()-2)/7)+2</f>
        <v>58</v>
      </c>
      <c r="L397" s="86" t="n">
        <f aca="false">MOD(ROW()-2,7)+1</f>
        <v>4</v>
      </c>
    </row>
    <row r="398" customFormat="false" ht="15" hidden="false" customHeight="false" outlineLevel="0" collapsed="false">
      <c r="A398" s="85" t="str">
        <f aca="false">IF(INDEX(Candidates!$A$1:$A$500,K398)="","",INDEX(Candidates!$A$1:$A$500,K398))</f>
        <v/>
      </c>
      <c r="B398" s="85" t="str">
        <f aca="false">IF(A398="","",INDEX(Candidates!$C$1:$C$500,K398))</f>
        <v/>
      </c>
      <c r="C398" s="85" t="str">
        <f aca="false">IF(A398="","",INDEX(Candidates!$D$1:$D$500,K398))</f>
        <v/>
      </c>
      <c r="D398" s="85" t="str">
        <f aca="false">IF(A398="","",L398)</f>
        <v/>
      </c>
      <c r="E398" s="85" t="str">
        <f aca="false">IF(A398="","",INDEX($O$2:$O$8,L398))</f>
        <v/>
      </c>
      <c r="F398" s="85" t="str">
        <f aca="false">IF(A398="","",IF(ISNUMBER(INDEX(Candidates!$A$1:$Z$500,K398,INDEX($P$2:$P$8,L398))),INDEX(Candidates!$A$1:$Z$500,K398,INDEX($P$2:$P$8,L398)),""))</f>
        <v/>
      </c>
      <c r="G398" s="85" t="str">
        <f aca="false">IF(A398="","",INDEX($Q$2:$Q$8,L398))</f>
        <v/>
      </c>
      <c r="H398" s="85" t="str">
        <f aca="false">IF(A398="","",IF(F398="","Not yet scored",IF(F398&gt;=G398,"Pass","Fail")))</f>
        <v/>
      </c>
      <c r="I398" s="85" t="str">
        <f aca="false">IF(A398="","",INDEX(Candidates!$B$1:$B$500,K398))</f>
        <v/>
      </c>
      <c r="K398" s="86" t="n">
        <f aca="false">INT((ROW()-2)/7)+2</f>
        <v>58</v>
      </c>
      <c r="L398" s="86" t="n">
        <f aca="false">MOD(ROW()-2,7)+1</f>
        <v>5</v>
      </c>
    </row>
    <row r="399" customFormat="false" ht="15" hidden="false" customHeight="false" outlineLevel="0" collapsed="false">
      <c r="A399" s="85" t="str">
        <f aca="false">IF(INDEX(Candidates!$A$1:$A$500,K399)="","",INDEX(Candidates!$A$1:$A$500,K399))</f>
        <v/>
      </c>
      <c r="B399" s="85" t="str">
        <f aca="false">IF(A399="","",INDEX(Candidates!$C$1:$C$500,K399))</f>
        <v/>
      </c>
      <c r="C399" s="85" t="str">
        <f aca="false">IF(A399="","",INDEX(Candidates!$D$1:$D$500,K399))</f>
        <v/>
      </c>
      <c r="D399" s="85" t="str">
        <f aca="false">IF(A399="","",L399)</f>
        <v/>
      </c>
      <c r="E399" s="85" t="str">
        <f aca="false">IF(A399="","",INDEX($O$2:$O$8,L399))</f>
        <v/>
      </c>
      <c r="F399" s="85" t="str">
        <f aca="false">IF(A399="","",IF(ISNUMBER(INDEX(Candidates!$A$1:$Z$500,K399,INDEX($P$2:$P$8,L399))),INDEX(Candidates!$A$1:$Z$500,K399,INDEX($P$2:$P$8,L399)),""))</f>
        <v/>
      </c>
      <c r="G399" s="85" t="str">
        <f aca="false">IF(A399="","",INDEX($Q$2:$Q$8,L399))</f>
        <v/>
      </c>
      <c r="H399" s="85" t="str">
        <f aca="false">IF(A399="","",IF(F399="","Not yet scored",IF(F399&gt;=G399,"Pass","Fail")))</f>
        <v/>
      </c>
      <c r="I399" s="85" t="str">
        <f aca="false">IF(A399="","",INDEX(Candidates!$B$1:$B$500,K399))</f>
        <v/>
      </c>
      <c r="K399" s="86" t="n">
        <f aca="false">INT((ROW()-2)/7)+2</f>
        <v>58</v>
      </c>
      <c r="L399" s="86" t="n">
        <f aca="false">MOD(ROW()-2,7)+1</f>
        <v>6</v>
      </c>
    </row>
    <row r="400" customFormat="false" ht="15" hidden="false" customHeight="false" outlineLevel="0" collapsed="false">
      <c r="A400" s="85" t="str">
        <f aca="false">IF(INDEX(Candidates!$A$1:$A$500,K400)="","",INDEX(Candidates!$A$1:$A$500,K400))</f>
        <v/>
      </c>
      <c r="B400" s="85" t="str">
        <f aca="false">IF(A400="","",INDEX(Candidates!$C$1:$C$500,K400))</f>
        <v/>
      </c>
      <c r="C400" s="85" t="str">
        <f aca="false">IF(A400="","",INDEX(Candidates!$D$1:$D$500,K400))</f>
        <v/>
      </c>
      <c r="D400" s="85" t="str">
        <f aca="false">IF(A400="","",L400)</f>
        <v/>
      </c>
      <c r="E400" s="85" t="str">
        <f aca="false">IF(A400="","",INDEX($O$2:$O$8,L400))</f>
        <v/>
      </c>
      <c r="F400" s="85" t="str">
        <f aca="false">IF(A400="","",IF(ISNUMBER(INDEX(Candidates!$A$1:$Z$500,K400,INDEX($P$2:$P$8,L400))),INDEX(Candidates!$A$1:$Z$500,K400,INDEX($P$2:$P$8,L400)),""))</f>
        <v/>
      </c>
      <c r="G400" s="85" t="str">
        <f aca="false">IF(A400="","",INDEX($Q$2:$Q$8,L400))</f>
        <v/>
      </c>
      <c r="H400" s="85" t="str">
        <f aca="false">IF(A400="","",IF(F400="","Not yet scored",IF(F400&gt;=G400,"Pass","Fail")))</f>
        <v/>
      </c>
      <c r="I400" s="85" t="str">
        <f aca="false">IF(A400="","",INDEX(Candidates!$B$1:$B$500,K400))</f>
        <v/>
      </c>
      <c r="K400" s="86" t="n">
        <f aca="false">INT((ROW()-2)/7)+2</f>
        <v>58</v>
      </c>
      <c r="L400" s="86" t="n">
        <f aca="false">MOD(ROW()-2,7)+1</f>
        <v>7</v>
      </c>
    </row>
    <row r="401" customFormat="false" ht="15" hidden="false" customHeight="false" outlineLevel="0" collapsed="false">
      <c r="A401" s="85" t="str">
        <f aca="false">IF(INDEX(Candidates!$A$1:$A$500,K401)="","",INDEX(Candidates!$A$1:$A$500,K401))</f>
        <v/>
      </c>
      <c r="B401" s="85" t="str">
        <f aca="false">IF(A401="","",INDEX(Candidates!$C$1:$C$500,K401))</f>
        <v/>
      </c>
      <c r="C401" s="85" t="str">
        <f aca="false">IF(A401="","",INDEX(Candidates!$D$1:$D$500,K401))</f>
        <v/>
      </c>
      <c r="D401" s="85" t="str">
        <f aca="false">IF(A401="","",L401)</f>
        <v/>
      </c>
      <c r="E401" s="85" t="str">
        <f aca="false">IF(A401="","",INDEX($O$2:$O$8,L401))</f>
        <v/>
      </c>
      <c r="F401" s="85" t="str">
        <f aca="false">IF(A401="","",IF(ISNUMBER(INDEX(Candidates!$A$1:$Z$500,K401,INDEX($P$2:$P$8,L401))),INDEX(Candidates!$A$1:$Z$500,K401,INDEX($P$2:$P$8,L401)),""))</f>
        <v/>
      </c>
      <c r="G401" s="85" t="str">
        <f aca="false">IF(A401="","",INDEX($Q$2:$Q$8,L401))</f>
        <v/>
      </c>
      <c r="H401" s="85" t="str">
        <f aca="false">IF(A401="","",IF(F401="","Not yet scored",IF(F401&gt;=G401,"Pass","Fail")))</f>
        <v/>
      </c>
      <c r="I401" s="85" t="str">
        <f aca="false">IF(A401="","",INDEX(Candidates!$B$1:$B$500,K401))</f>
        <v/>
      </c>
      <c r="K401" s="86" t="n">
        <f aca="false">INT((ROW()-2)/7)+2</f>
        <v>59</v>
      </c>
      <c r="L401" s="86" t="n">
        <f aca="false">MOD(ROW()-2,7)+1</f>
        <v>1</v>
      </c>
    </row>
    <row r="402" customFormat="false" ht="15" hidden="false" customHeight="false" outlineLevel="0" collapsed="false">
      <c r="A402" s="85" t="str">
        <f aca="false">IF(INDEX(Candidates!$A$1:$A$500,K402)="","",INDEX(Candidates!$A$1:$A$500,K402))</f>
        <v/>
      </c>
      <c r="B402" s="85" t="str">
        <f aca="false">IF(A402="","",INDEX(Candidates!$C$1:$C$500,K402))</f>
        <v/>
      </c>
      <c r="C402" s="85" t="str">
        <f aca="false">IF(A402="","",INDEX(Candidates!$D$1:$D$500,K402))</f>
        <v/>
      </c>
      <c r="D402" s="85" t="str">
        <f aca="false">IF(A402="","",L402)</f>
        <v/>
      </c>
      <c r="E402" s="85" t="str">
        <f aca="false">IF(A402="","",INDEX($O$2:$O$8,L402))</f>
        <v/>
      </c>
      <c r="F402" s="85" t="str">
        <f aca="false">IF(A402="","",IF(ISNUMBER(INDEX(Candidates!$A$1:$Z$500,K402,INDEX($P$2:$P$8,L402))),INDEX(Candidates!$A$1:$Z$500,K402,INDEX($P$2:$P$8,L402)),""))</f>
        <v/>
      </c>
      <c r="G402" s="85" t="str">
        <f aca="false">IF(A402="","",INDEX($Q$2:$Q$8,L402))</f>
        <v/>
      </c>
      <c r="H402" s="85" t="str">
        <f aca="false">IF(A402="","",IF(F402="","Not yet scored",IF(F402&gt;=G402,"Pass","Fail")))</f>
        <v/>
      </c>
      <c r="I402" s="85" t="str">
        <f aca="false">IF(A402="","",INDEX(Candidates!$B$1:$B$500,K402))</f>
        <v/>
      </c>
      <c r="K402" s="86" t="n">
        <f aca="false">INT((ROW()-2)/7)+2</f>
        <v>59</v>
      </c>
      <c r="L402" s="86" t="n">
        <f aca="false">MOD(ROW()-2,7)+1</f>
        <v>2</v>
      </c>
    </row>
    <row r="403" customFormat="false" ht="15" hidden="false" customHeight="false" outlineLevel="0" collapsed="false">
      <c r="A403" s="85" t="str">
        <f aca="false">IF(INDEX(Candidates!$A$1:$A$500,K403)="","",INDEX(Candidates!$A$1:$A$500,K403))</f>
        <v/>
      </c>
      <c r="B403" s="85" t="str">
        <f aca="false">IF(A403="","",INDEX(Candidates!$C$1:$C$500,K403))</f>
        <v/>
      </c>
      <c r="C403" s="85" t="str">
        <f aca="false">IF(A403="","",INDEX(Candidates!$D$1:$D$500,K403))</f>
        <v/>
      </c>
      <c r="D403" s="85" t="str">
        <f aca="false">IF(A403="","",L403)</f>
        <v/>
      </c>
      <c r="E403" s="85" t="str">
        <f aca="false">IF(A403="","",INDEX($O$2:$O$8,L403))</f>
        <v/>
      </c>
      <c r="F403" s="85" t="str">
        <f aca="false">IF(A403="","",IF(ISNUMBER(INDEX(Candidates!$A$1:$Z$500,K403,INDEX($P$2:$P$8,L403))),INDEX(Candidates!$A$1:$Z$500,K403,INDEX($P$2:$P$8,L403)),""))</f>
        <v/>
      </c>
      <c r="G403" s="85" t="str">
        <f aca="false">IF(A403="","",INDEX($Q$2:$Q$8,L403))</f>
        <v/>
      </c>
      <c r="H403" s="85" t="str">
        <f aca="false">IF(A403="","",IF(F403="","Not yet scored",IF(F403&gt;=G403,"Pass","Fail")))</f>
        <v/>
      </c>
      <c r="I403" s="85" t="str">
        <f aca="false">IF(A403="","",INDEX(Candidates!$B$1:$B$500,K403))</f>
        <v/>
      </c>
      <c r="K403" s="86" t="n">
        <f aca="false">INT((ROW()-2)/7)+2</f>
        <v>59</v>
      </c>
      <c r="L403" s="86" t="n">
        <f aca="false">MOD(ROW()-2,7)+1</f>
        <v>3</v>
      </c>
    </row>
    <row r="404" customFormat="false" ht="15" hidden="false" customHeight="false" outlineLevel="0" collapsed="false">
      <c r="A404" s="85" t="str">
        <f aca="false">IF(INDEX(Candidates!$A$1:$A$500,K404)="","",INDEX(Candidates!$A$1:$A$500,K404))</f>
        <v/>
      </c>
      <c r="B404" s="85" t="str">
        <f aca="false">IF(A404="","",INDEX(Candidates!$C$1:$C$500,K404))</f>
        <v/>
      </c>
      <c r="C404" s="85" t="str">
        <f aca="false">IF(A404="","",INDEX(Candidates!$D$1:$D$500,K404))</f>
        <v/>
      </c>
      <c r="D404" s="85" t="str">
        <f aca="false">IF(A404="","",L404)</f>
        <v/>
      </c>
      <c r="E404" s="85" t="str">
        <f aca="false">IF(A404="","",INDEX($O$2:$O$8,L404))</f>
        <v/>
      </c>
      <c r="F404" s="85" t="str">
        <f aca="false">IF(A404="","",IF(ISNUMBER(INDEX(Candidates!$A$1:$Z$500,K404,INDEX($P$2:$P$8,L404))),INDEX(Candidates!$A$1:$Z$500,K404,INDEX($P$2:$P$8,L404)),""))</f>
        <v/>
      </c>
      <c r="G404" s="85" t="str">
        <f aca="false">IF(A404="","",INDEX($Q$2:$Q$8,L404))</f>
        <v/>
      </c>
      <c r="H404" s="85" t="str">
        <f aca="false">IF(A404="","",IF(F404="","Not yet scored",IF(F404&gt;=G404,"Pass","Fail")))</f>
        <v/>
      </c>
      <c r="I404" s="85" t="str">
        <f aca="false">IF(A404="","",INDEX(Candidates!$B$1:$B$500,K404))</f>
        <v/>
      </c>
      <c r="K404" s="86" t="n">
        <f aca="false">INT((ROW()-2)/7)+2</f>
        <v>59</v>
      </c>
      <c r="L404" s="86" t="n">
        <f aca="false">MOD(ROW()-2,7)+1</f>
        <v>4</v>
      </c>
    </row>
    <row r="405" customFormat="false" ht="15" hidden="false" customHeight="false" outlineLevel="0" collapsed="false">
      <c r="A405" s="85" t="str">
        <f aca="false">IF(INDEX(Candidates!$A$1:$A$500,K405)="","",INDEX(Candidates!$A$1:$A$500,K405))</f>
        <v/>
      </c>
      <c r="B405" s="85" t="str">
        <f aca="false">IF(A405="","",INDEX(Candidates!$C$1:$C$500,K405))</f>
        <v/>
      </c>
      <c r="C405" s="85" t="str">
        <f aca="false">IF(A405="","",INDEX(Candidates!$D$1:$D$500,K405))</f>
        <v/>
      </c>
      <c r="D405" s="85" t="str">
        <f aca="false">IF(A405="","",L405)</f>
        <v/>
      </c>
      <c r="E405" s="85" t="str">
        <f aca="false">IF(A405="","",INDEX($O$2:$O$8,L405))</f>
        <v/>
      </c>
      <c r="F405" s="85" t="str">
        <f aca="false">IF(A405="","",IF(ISNUMBER(INDEX(Candidates!$A$1:$Z$500,K405,INDEX($P$2:$P$8,L405))),INDEX(Candidates!$A$1:$Z$500,K405,INDEX($P$2:$P$8,L405)),""))</f>
        <v/>
      </c>
      <c r="G405" s="85" t="str">
        <f aca="false">IF(A405="","",INDEX($Q$2:$Q$8,L405))</f>
        <v/>
      </c>
      <c r="H405" s="85" t="str">
        <f aca="false">IF(A405="","",IF(F405="","Not yet scored",IF(F405&gt;=G405,"Pass","Fail")))</f>
        <v/>
      </c>
      <c r="I405" s="85" t="str">
        <f aca="false">IF(A405="","",INDEX(Candidates!$B$1:$B$500,K405))</f>
        <v/>
      </c>
      <c r="K405" s="86" t="n">
        <f aca="false">INT((ROW()-2)/7)+2</f>
        <v>59</v>
      </c>
      <c r="L405" s="86" t="n">
        <f aca="false">MOD(ROW()-2,7)+1</f>
        <v>5</v>
      </c>
    </row>
    <row r="406" customFormat="false" ht="15" hidden="false" customHeight="false" outlineLevel="0" collapsed="false">
      <c r="A406" s="85" t="str">
        <f aca="false">IF(INDEX(Candidates!$A$1:$A$500,K406)="","",INDEX(Candidates!$A$1:$A$500,K406))</f>
        <v/>
      </c>
      <c r="B406" s="85" t="str">
        <f aca="false">IF(A406="","",INDEX(Candidates!$C$1:$C$500,K406))</f>
        <v/>
      </c>
      <c r="C406" s="85" t="str">
        <f aca="false">IF(A406="","",INDEX(Candidates!$D$1:$D$500,K406))</f>
        <v/>
      </c>
      <c r="D406" s="85" t="str">
        <f aca="false">IF(A406="","",L406)</f>
        <v/>
      </c>
      <c r="E406" s="85" t="str">
        <f aca="false">IF(A406="","",INDEX($O$2:$O$8,L406))</f>
        <v/>
      </c>
      <c r="F406" s="85" t="str">
        <f aca="false">IF(A406="","",IF(ISNUMBER(INDEX(Candidates!$A$1:$Z$500,K406,INDEX($P$2:$P$8,L406))),INDEX(Candidates!$A$1:$Z$500,K406,INDEX($P$2:$P$8,L406)),""))</f>
        <v/>
      </c>
      <c r="G406" s="85" t="str">
        <f aca="false">IF(A406="","",INDEX($Q$2:$Q$8,L406))</f>
        <v/>
      </c>
      <c r="H406" s="85" t="str">
        <f aca="false">IF(A406="","",IF(F406="","Not yet scored",IF(F406&gt;=G406,"Pass","Fail")))</f>
        <v/>
      </c>
      <c r="I406" s="85" t="str">
        <f aca="false">IF(A406="","",INDEX(Candidates!$B$1:$B$500,K406))</f>
        <v/>
      </c>
      <c r="K406" s="86" t="n">
        <f aca="false">INT((ROW()-2)/7)+2</f>
        <v>59</v>
      </c>
      <c r="L406" s="86" t="n">
        <f aca="false">MOD(ROW()-2,7)+1</f>
        <v>6</v>
      </c>
    </row>
    <row r="407" customFormat="false" ht="15" hidden="false" customHeight="false" outlineLevel="0" collapsed="false">
      <c r="A407" s="85" t="str">
        <f aca="false">IF(INDEX(Candidates!$A$1:$A$500,K407)="","",INDEX(Candidates!$A$1:$A$500,K407))</f>
        <v/>
      </c>
      <c r="B407" s="85" t="str">
        <f aca="false">IF(A407="","",INDEX(Candidates!$C$1:$C$500,K407))</f>
        <v/>
      </c>
      <c r="C407" s="85" t="str">
        <f aca="false">IF(A407="","",INDEX(Candidates!$D$1:$D$500,K407))</f>
        <v/>
      </c>
      <c r="D407" s="85" t="str">
        <f aca="false">IF(A407="","",L407)</f>
        <v/>
      </c>
      <c r="E407" s="85" t="str">
        <f aca="false">IF(A407="","",INDEX($O$2:$O$8,L407))</f>
        <v/>
      </c>
      <c r="F407" s="85" t="str">
        <f aca="false">IF(A407="","",IF(ISNUMBER(INDEX(Candidates!$A$1:$Z$500,K407,INDEX($P$2:$P$8,L407))),INDEX(Candidates!$A$1:$Z$500,K407,INDEX($P$2:$P$8,L407)),""))</f>
        <v/>
      </c>
      <c r="G407" s="85" t="str">
        <f aca="false">IF(A407="","",INDEX($Q$2:$Q$8,L407))</f>
        <v/>
      </c>
      <c r="H407" s="85" t="str">
        <f aca="false">IF(A407="","",IF(F407="","Not yet scored",IF(F407&gt;=G407,"Pass","Fail")))</f>
        <v/>
      </c>
      <c r="I407" s="85" t="str">
        <f aca="false">IF(A407="","",INDEX(Candidates!$B$1:$B$500,K407))</f>
        <v/>
      </c>
      <c r="K407" s="86" t="n">
        <f aca="false">INT((ROW()-2)/7)+2</f>
        <v>59</v>
      </c>
      <c r="L407" s="86" t="n">
        <f aca="false">MOD(ROW()-2,7)+1</f>
        <v>7</v>
      </c>
    </row>
    <row r="408" customFormat="false" ht="15" hidden="false" customHeight="false" outlineLevel="0" collapsed="false">
      <c r="A408" s="85" t="str">
        <f aca="false">IF(INDEX(Candidates!$A$1:$A$500,K408)="","",INDEX(Candidates!$A$1:$A$500,K408))</f>
        <v/>
      </c>
      <c r="B408" s="85" t="str">
        <f aca="false">IF(A408="","",INDEX(Candidates!$C$1:$C$500,K408))</f>
        <v/>
      </c>
      <c r="C408" s="85" t="str">
        <f aca="false">IF(A408="","",INDEX(Candidates!$D$1:$D$500,K408))</f>
        <v/>
      </c>
      <c r="D408" s="85" t="str">
        <f aca="false">IF(A408="","",L408)</f>
        <v/>
      </c>
      <c r="E408" s="85" t="str">
        <f aca="false">IF(A408="","",INDEX($O$2:$O$8,L408))</f>
        <v/>
      </c>
      <c r="F408" s="85" t="str">
        <f aca="false">IF(A408="","",IF(ISNUMBER(INDEX(Candidates!$A$1:$Z$500,K408,INDEX($P$2:$P$8,L408))),INDEX(Candidates!$A$1:$Z$500,K408,INDEX($P$2:$P$8,L408)),""))</f>
        <v/>
      </c>
      <c r="G408" s="85" t="str">
        <f aca="false">IF(A408="","",INDEX($Q$2:$Q$8,L408))</f>
        <v/>
      </c>
      <c r="H408" s="85" t="str">
        <f aca="false">IF(A408="","",IF(F408="","Not yet scored",IF(F408&gt;=G408,"Pass","Fail")))</f>
        <v/>
      </c>
      <c r="I408" s="85" t="str">
        <f aca="false">IF(A408="","",INDEX(Candidates!$B$1:$B$500,K408))</f>
        <v/>
      </c>
      <c r="K408" s="86" t="n">
        <f aca="false">INT((ROW()-2)/7)+2</f>
        <v>60</v>
      </c>
      <c r="L408" s="86" t="n">
        <f aca="false">MOD(ROW()-2,7)+1</f>
        <v>1</v>
      </c>
    </row>
    <row r="409" customFormat="false" ht="15" hidden="false" customHeight="false" outlineLevel="0" collapsed="false">
      <c r="A409" s="85" t="str">
        <f aca="false">IF(INDEX(Candidates!$A$1:$A$500,K409)="","",INDEX(Candidates!$A$1:$A$500,K409))</f>
        <v/>
      </c>
      <c r="B409" s="85" t="str">
        <f aca="false">IF(A409="","",INDEX(Candidates!$C$1:$C$500,K409))</f>
        <v/>
      </c>
      <c r="C409" s="85" t="str">
        <f aca="false">IF(A409="","",INDEX(Candidates!$D$1:$D$500,K409))</f>
        <v/>
      </c>
      <c r="D409" s="85" t="str">
        <f aca="false">IF(A409="","",L409)</f>
        <v/>
      </c>
      <c r="E409" s="85" t="str">
        <f aca="false">IF(A409="","",INDEX($O$2:$O$8,L409))</f>
        <v/>
      </c>
      <c r="F409" s="85" t="str">
        <f aca="false">IF(A409="","",IF(ISNUMBER(INDEX(Candidates!$A$1:$Z$500,K409,INDEX($P$2:$P$8,L409))),INDEX(Candidates!$A$1:$Z$500,K409,INDEX($P$2:$P$8,L409)),""))</f>
        <v/>
      </c>
      <c r="G409" s="85" t="str">
        <f aca="false">IF(A409="","",INDEX($Q$2:$Q$8,L409))</f>
        <v/>
      </c>
      <c r="H409" s="85" t="str">
        <f aca="false">IF(A409="","",IF(F409="","Not yet scored",IF(F409&gt;=G409,"Pass","Fail")))</f>
        <v/>
      </c>
      <c r="I409" s="85" t="str">
        <f aca="false">IF(A409="","",INDEX(Candidates!$B$1:$B$500,K409))</f>
        <v/>
      </c>
      <c r="K409" s="86" t="n">
        <f aca="false">INT((ROW()-2)/7)+2</f>
        <v>60</v>
      </c>
      <c r="L409" s="86" t="n">
        <f aca="false">MOD(ROW()-2,7)+1</f>
        <v>2</v>
      </c>
    </row>
    <row r="410" customFormat="false" ht="15" hidden="false" customHeight="false" outlineLevel="0" collapsed="false">
      <c r="A410" s="85" t="str">
        <f aca="false">IF(INDEX(Candidates!$A$1:$A$500,K410)="","",INDEX(Candidates!$A$1:$A$500,K410))</f>
        <v/>
      </c>
      <c r="B410" s="85" t="str">
        <f aca="false">IF(A410="","",INDEX(Candidates!$C$1:$C$500,K410))</f>
        <v/>
      </c>
      <c r="C410" s="85" t="str">
        <f aca="false">IF(A410="","",INDEX(Candidates!$D$1:$D$500,K410))</f>
        <v/>
      </c>
      <c r="D410" s="85" t="str">
        <f aca="false">IF(A410="","",L410)</f>
        <v/>
      </c>
      <c r="E410" s="85" t="str">
        <f aca="false">IF(A410="","",INDEX($O$2:$O$8,L410))</f>
        <v/>
      </c>
      <c r="F410" s="85" t="str">
        <f aca="false">IF(A410="","",IF(ISNUMBER(INDEX(Candidates!$A$1:$Z$500,K410,INDEX($P$2:$P$8,L410))),INDEX(Candidates!$A$1:$Z$500,K410,INDEX($P$2:$P$8,L410)),""))</f>
        <v/>
      </c>
      <c r="G410" s="85" t="str">
        <f aca="false">IF(A410="","",INDEX($Q$2:$Q$8,L410))</f>
        <v/>
      </c>
      <c r="H410" s="85" t="str">
        <f aca="false">IF(A410="","",IF(F410="","Not yet scored",IF(F410&gt;=G410,"Pass","Fail")))</f>
        <v/>
      </c>
      <c r="I410" s="85" t="str">
        <f aca="false">IF(A410="","",INDEX(Candidates!$B$1:$B$500,K410))</f>
        <v/>
      </c>
      <c r="K410" s="86" t="n">
        <f aca="false">INT((ROW()-2)/7)+2</f>
        <v>60</v>
      </c>
      <c r="L410" s="86" t="n">
        <f aca="false">MOD(ROW()-2,7)+1</f>
        <v>3</v>
      </c>
    </row>
    <row r="411" customFormat="false" ht="15" hidden="false" customHeight="false" outlineLevel="0" collapsed="false">
      <c r="A411" s="85" t="str">
        <f aca="false">IF(INDEX(Candidates!$A$1:$A$500,K411)="","",INDEX(Candidates!$A$1:$A$500,K411))</f>
        <v/>
      </c>
      <c r="B411" s="85" t="str">
        <f aca="false">IF(A411="","",INDEX(Candidates!$C$1:$C$500,K411))</f>
        <v/>
      </c>
      <c r="C411" s="85" t="str">
        <f aca="false">IF(A411="","",INDEX(Candidates!$D$1:$D$500,K411))</f>
        <v/>
      </c>
      <c r="D411" s="85" t="str">
        <f aca="false">IF(A411="","",L411)</f>
        <v/>
      </c>
      <c r="E411" s="85" t="str">
        <f aca="false">IF(A411="","",INDEX($O$2:$O$8,L411))</f>
        <v/>
      </c>
      <c r="F411" s="85" t="str">
        <f aca="false">IF(A411="","",IF(ISNUMBER(INDEX(Candidates!$A$1:$Z$500,K411,INDEX($P$2:$P$8,L411))),INDEX(Candidates!$A$1:$Z$500,K411,INDEX($P$2:$P$8,L411)),""))</f>
        <v/>
      </c>
      <c r="G411" s="85" t="str">
        <f aca="false">IF(A411="","",INDEX($Q$2:$Q$8,L411))</f>
        <v/>
      </c>
      <c r="H411" s="85" t="str">
        <f aca="false">IF(A411="","",IF(F411="","Not yet scored",IF(F411&gt;=G411,"Pass","Fail")))</f>
        <v/>
      </c>
      <c r="I411" s="85" t="str">
        <f aca="false">IF(A411="","",INDEX(Candidates!$B$1:$B$500,K411))</f>
        <v/>
      </c>
      <c r="K411" s="86" t="n">
        <f aca="false">INT((ROW()-2)/7)+2</f>
        <v>60</v>
      </c>
      <c r="L411" s="86" t="n">
        <f aca="false">MOD(ROW()-2,7)+1</f>
        <v>4</v>
      </c>
    </row>
    <row r="412" customFormat="false" ht="15" hidden="false" customHeight="false" outlineLevel="0" collapsed="false">
      <c r="A412" s="85" t="str">
        <f aca="false">IF(INDEX(Candidates!$A$1:$A$500,K412)="","",INDEX(Candidates!$A$1:$A$500,K412))</f>
        <v/>
      </c>
      <c r="B412" s="85" t="str">
        <f aca="false">IF(A412="","",INDEX(Candidates!$C$1:$C$500,K412))</f>
        <v/>
      </c>
      <c r="C412" s="85" t="str">
        <f aca="false">IF(A412="","",INDEX(Candidates!$D$1:$D$500,K412))</f>
        <v/>
      </c>
      <c r="D412" s="85" t="str">
        <f aca="false">IF(A412="","",L412)</f>
        <v/>
      </c>
      <c r="E412" s="85" t="str">
        <f aca="false">IF(A412="","",INDEX($O$2:$O$8,L412))</f>
        <v/>
      </c>
      <c r="F412" s="85" t="str">
        <f aca="false">IF(A412="","",IF(ISNUMBER(INDEX(Candidates!$A$1:$Z$500,K412,INDEX($P$2:$P$8,L412))),INDEX(Candidates!$A$1:$Z$500,K412,INDEX($P$2:$P$8,L412)),""))</f>
        <v/>
      </c>
      <c r="G412" s="85" t="str">
        <f aca="false">IF(A412="","",INDEX($Q$2:$Q$8,L412))</f>
        <v/>
      </c>
      <c r="H412" s="85" t="str">
        <f aca="false">IF(A412="","",IF(F412="","Not yet scored",IF(F412&gt;=G412,"Pass","Fail")))</f>
        <v/>
      </c>
      <c r="I412" s="85" t="str">
        <f aca="false">IF(A412="","",INDEX(Candidates!$B$1:$B$500,K412))</f>
        <v/>
      </c>
      <c r="K412" s="86" t="n">
        <f aca="false">INT((ROW()-2)/7)+2</f>
        <v>60</v>
      </c>
      <c r="L412" s="86" t="n">
        <f aca="false">MOD(ROW()-2,7)+1</f>
        <v>5</v>
      </c>
    </row>
    <row r="413" customFormat="false" ht="15" hidden="false" customHeight="false" outlineLevel="0" collapsed="false">
      <c r="A413" s="85" t="str">
        <f aca="false">IF(INDEX(Candidates!$A$1:$A$500,K413)="","",INDEX(Candidates!$A$1:$A$500,K413))</f>
        <v/>
      </c>
      <c r="B413" s="85" t="str">
        <f aca="false">IF(A413="","",INDEX(Candidates!$C$1:$C$500,K413))</f>
        <v/>
      </c>
      <c r="C413" s="85" t="str">
        <f aca="false">IF(A413="","",INDEX(Candidates!$D$1:$D$500,K413))</f>
        <v/>
      </c>
      <c r="D413" s="85" t="str">
        <f aca="false">IF(A413="","",L413)</f>
        <v/>
      </c>
      <c r="E413" s="85" t="str">
        <f aca="false">IF(A413="","",INDEX($O$2:$O$8,L413))</f>
        <v/>
      </c>
      <c r="F413" s="85" t="str">
        <f aca="false">IF(A413="","",IF(ISNUMBER(INDEX(Candidates!$A$1:$Z$500,K413,INDEX($P$2:$P$8,L413))),INDEX(Candidates!$A$1:$Z$500,K413,INDEX($P$2:$P$8,L413)),""))</f>
        <v/>
      </c>
      <c r="G413" s="85" t="str">
        <f aca="false">IF(A413="","",INDEX($Q$2:$Q$8,L413))</f>
        <v/>
      </c>
      <c r="H413" s="85" t="str">
        <f aca="false">IF(A413="","",IF(F413="","Not yet scored",IF(F413&gt;=G413,"Pass","Fail")))</f>
        <v/>
      </c>
      <c r="I413" s="85" t="str">
        <f aca="false">IF(A413="","",INDEX(Candidates!$B$1:$B$500,K413))</f>
        <v/>
      </c>
      <c r="K413" s="86" t="n">
        <f aca="false">INT((ROW()-2)/7)+2</f>
        <v>60</v>
      </c>
      <c r="L413" s="86" t="n">
        <f aca="false">MOD(ROW()-2,7)+1</f>
        <v>6</v>
      </c>
    </row>
    <row r="414" customFormat="false" ht="15" hidden="false" customHeight="false" outlineLevel="0" collapsed="false">
      <c r="A414" s="85" t="str">
        <f aca="false">IF(INDEX(Candidates!$A$1:$A$500,K414)="","",INDEX(Candidates!$A$1:$A$500,K414))</f>
        <v/>
      </c>
      <c r="B414" s="85" t="str">
        <f aca="false">IF(A414="","",INDEX(Candidates!$C$1:$C$500,K414))</f>
        <v/>
      </c>
      <c r="C414" s="85" t="str">
        <f aca="false">IF(A414="","",INDEX(Candidates!$D$1:$D$500,K414))</f>
        <v/>
      </c>
      <c r="D414" s="85" t="str">
        <f aca="false">IF(A414="","",L414)</f>
        <v/>
      </c>
      <c r="E414" s="85" t="str">
        <f aca="false">IF(A414="","",INDEX($O$2:$O$8,L414))</f>
        <v/>
      </c>
      <c r="F414" s="85" t="str">
        <f aca="false">IF(A414="","",IF(ISNUMBER(INDEX(Candidates!$A$1:$Z$500,K414,INDEX($P$2:$P$8,L414))),INDEX(Candidates!$A$1:$Z$500,K414,INDEX($P$2:$P$8,L414)),""))</f>
        <v/>
      </c>
      <c r="G414" s="85" t="str">
        <f aca="false">IF(A414="","",INDEX($Q$2:$Q$8,L414))</f>
        <v/>
      </c>
      <c r="H414" s="85" t="str">
        <f aca="false">IF(A414="","",IF(F414="","Not yet scored",IF(F414&gt;=G414,"Pass","Fail")))</f>
        <v/>
      </c>
      <c r="I414" s="85" t="str">
        <f aca="false">IF(A414="","",INDEX(Candidates!$B$1:$B$500,K414))</f>
        <v/>
      </c>
      <c r="K414" s="86" t="n">
        <f aca="false">INT((ROW()-2)/7)+2</f>
        <v>60</v>
      </c>
      <c r="L414" s="86" t="n">
        <f aca="false">MOD(ROW()-2,7)+1</f>
        <v>7</v>
      </c>
    </row>
    <row r="415" customFormat="false" ht="15" hidden="false" customHeight="false" outlineLevel="0" collapsed="false">
      <c r="A415" s="85" t="str">
        <f aca="false">IF(INDEX(Candidates!$A$1:$A$500,K415)="","",INDEX(Candidates!$A$1:$A$500,K415))</f>
        <v/>
      </c>
      <c r="B415" s="85" t="str">
        <f aca="false">IF(A415="","",INDEX(Candidates!$C$1:$C$500,K415))</f>
        <v/>
      </c>
      <c r="C415" s="85" t="str">
        <f aca="false">IF(A415="","",INDEX(Candidates!$D$1:$D$500,K415))</f>
        <v/>
      </c>
      <c r="D415" s="85" t="str">
        <f aca="false">IF(A415="","",L415)</f>
        <v/>
      </c>
      <c r="E415" s="85" t="str">
        <f aca="false">IF(A415="","",INDEX($O$2:$O$8,L415))</f>
        <v/>
      </c>
      <c r="F415" s="85" t="str">
        <f aca="false">IF(A415="","",IF(ISNUMBER(INDEX(Candidates!$A$1:$Z$500,K415,INDEX($P$2:$P$8,L415))),INDEX(Candidates!$A$1:$Z$500,K415,INDEX($P$2:$P$8,L415)),""))</f>
        <v/>
      </c>
      <c r="G415" s="85" t="str">
        <f aca="false">IF(A415="","",INDEX($Q$2:$Q$8,L415))</f>
        <v/>
      </c>
      <c r="H415" s="85" t="str">
        <f aca="false">IF(A415="","",IF(F415="","Not yet scored",IF(F415&gt;=G415,"Pass","Fail")))</f>
        <v/>
      </c>
      <c r="I415" s="85" t="str">
        <f aca="false">IF(A415="","",INDEX(Candidates!$B$1:$B$500,K415))</f>
        <v/>
      </c>
      <c r="K415" s="86" t="n">
        <f aca="false">INT((ROW()-2)/7)+2</f>
        <v>61</v>
      </c>
      <c r="L415" s="86" t="n">
        <f aca="false">MOD(ROW()-2,7)+1</f>
        <v>1</v>
      </c>
    </row>
    <row r="416" customFormat="false" ht="15" hidden="false" customHeight="false" outlineLevel="0" collapsed="false">
      <c r="A416" s="85" t="str">
        <f aca="false">IF(INDEX(Candidates!$A$1:$A$500,K416)="","",INDEX(Candidates!$A$1:$A$500,K416))</f>
        <v/>
      </c>
      <c r="B416" s="85" t="str">
        <f aca="false">IF(A416="","",INDEX(Candidates!$C$1:$C$500,K416))</f>
        <v/>
      </c>
      <c r="C416" s="85" t="str">
        <f aca="false">IF(A416="","",INDEX(Candidates!$D$1:$D$500,K416))</f>
        <v/>
      </c>
      <c r="D416" s="85" t="str">
        <f aca="false">IF(A416="","",L416)</f>
        <v/>
      </c>
      <c r="E416" s="85" t="str">
        <f aca="false">IF(A416="","",INDEX($O$2:$O$8,L416))</f>
        <v/>
      </c>
      <c r="F416" s="85" t="str">
        <f aca="false">IF(A416="","",IF(ISNUMBER(INDEX(Candidates!$A$1:$Z$500,K416,INDEX($P$2:$P$8,L416))),INDEX(Candidates!$A$1:$Z$500,K416,INDEX($P$2:$P$8,L416)),""))</f>
        <v/>
      </c>
      <c r="G416" s="85" t="str">
        <f aca="false">IF(A416="","",INDEX($Q$2:$Q$8,L416))</f>
        <v/>
      </c>
      <c r="H416" s="85" t="str">
        <f aca="false">IF(A416="","",IF(F416="","Not yet scored",IF(F416&gt;=G416,"Pass","Fail")))</f>
        <v/>
      </c>
      <c r="I416" s="85" t="str">
        <f aca="false">IF(A416="","",INDEX(Candidates!$B$1:$B$500,K416))</f>
        <v/>
      </c>
      <c r="K416" s="86" t="n">
        <f aca="false">INT((ROW()-2)/7)+2</f>
        <v>61</v>
      </c>
      <c r="L416" s="86" t="n">
        <f aca="false">MOD(ROW()-2,7)+1</f>
        <v>2</v>
      </c>
    </row>
    <row r="417" customFormat="false" ht="15" hidden="false" customHeight="false" outlineLevel="0" collapsed="false">
      <c r="A417" s="85" t="str">
        <f aca="false">IF(INDEX(Candidates!$A$1:$A$500,K417)="","",INDEX(Candidates!$A$1:$A$500,K417))</f>
        <v/>
      </c>
      <c r="B417" s="85" t="str">
        <f aca="false">IF(A417="","",INDEX(Candidates!$C$1:$C$500,K417))</f>
        <v/>
      </c>
      <c r="C417" s="85" t="str">
        <f aca="false">IF(A417="","",INDEX(Candidates!$D$1:$D$500,K417))</f>
        <v/>
      </c>
      <c r="D417" s="85" t="str">
        <f aca="false">IF(A417="","",L417)</f>
        <v/>
      </c>
      <c r="E417" s="85" t="str">
        <f aca="false">IF(A417="","",INDEX($O$2:$O$8,L417))</f>
        <v/>
      </c>
      <c r="F417" s="85" t="str">
        <f aca="false">IF(A417="","",IF(ISNUMBER(INDEX(Candidates!$A$1:$Z$500,K417,INDEX($P$2:$P$8,L417))),INDEX(Candidates!$A$1:$Z$500,K417,INDEX($P$2:$P$8,L417)),""))</f>
        <v/>
      </c>
      <c r="G417" s="85" t="str">
        <f aca="false">IF(A417="","",INDEX($Q$2:$Q$8,L417))</f>
        <v/>
      </c>
      <c r="H417" s="85" t="str">
        <f aca="false">IF(A417="","",IF(F417="","Not yet scored",IF(F417&gt;=G417,"Pass","Fail")))</f>
        <v/>
      </c>
      <c r="I417" s="85" t="str">
        <f aca="false">IF(A417="","",INDEX(Candidates!$B$1:$B$500,K417))</f>
        <v/>
      </c>
      <c r="K417" s="86" t="n">
        <f aca="false">INT((ROW()-2)/7)+2</f>
        <v>61</v>
      </c>
      <c r="L417" s="86" t="n">
        <f aca="false">MOD(ROW()-2,7)+1</f>
        <v>3</v>
      </c>
    </row>
    <row r="418" customFormat="false" ht="15" hidden="false" customHeight="false" outlineLevel="0" collapsed="false">
      <c r="A418" s="85" t="str">
        <f aca="false">IF(INDEX(Candidates!$A$1:$A$500,K418)="","",INDEX(Candidates!$A$1:$A$500,K418))</f>
        <v/>
      </c>
      <c r="B418" s="85" t="str">
        <f aca="false">IF(A418="","",INDEX(Candidates!$C$1:$C$500,K418))</f>
        <v/>
      </c>
      <c r="C418" s="85" t="str">
        <f aca="false">IF(A418="","",INDEX(Candidates!$D$1:$D$500,K418))</f>
        <v/>
      </c>
      <c r="D418" s="85" t="str">
        <f aca="false">IF(A418="","",L418)</f>
        <v/>
      </c>
      <c r="E418" s="85" t="str">
        <f aca="false">IF(A418="","",INDEX($O$2:$O$8,L418))</f>
        <v/>
      </c>
      <c r="F418" s="85" t="str">
        <f aca="false">IF(A418="","",IF(ISNUMBER(INDEX(Candidates!$A$1:$Z$500,K418,INDEX($P$2:$P$8,L418))),INDEX(Candidates!$A$1:$Z$500,K418,INDEX($P$2:$P$8,L418)),""))</f>
        <v/>
      </c>
      <c r="G418" s="85" t="str">
        <f aca="false">IF(A418="","",INDEX($Q$2:$Q$8,L418))</f>
        <v/>
      </c>
      <c r="H418" s="85" t="str">
        <f aca="false">IF(A418="","",IF(F418="","Not yet scored",IF(F418&gt;=G418,"Pass","Fail")))</f>
        <v/>
      </c>
      <c r="I418" s="85" t="str">
        <f aca="false">IF(A418="","",INDEX(Candidates!$B$1:$B$500,K418))</f>
        <v/>
      </c>
      <c r="K418" s="86" t="n">
        <f aca="false">INT((ROW()-2)/7)+2</f>
        <v>61</v>
      </c>
      <c r="L418" s="86" t="n">
        <f aca="false">MOD(ROW()-2,7)+1</f>
        <v>4</v>
      </c>
    </row>
    <row r="419" customFormat="false" ht="15" hidden="false" customHeight="false" outlineLevel="0" collapsed="false">
      <c r="A419" s="85" t="str">
        <f aca="false">IF(INDEX(Candidates!$A$1:$A$500,K419)="","",INDEX(Candidates!$A$1:$A$500,K419))</f>
        <v/>
      </c>
      <c r="B419" s="85" t="str">
        <f aca="false">IF(A419="","",INDEX(Candidates!$C$1:$C$500,K419))</f>
        <v/>
      </c>
      <c r="C419" s="85" t="str">
        <f aca="false">IF(A419="","",INDEX(Candidates!$D$1:$D$500,K419))</f>
        <v/>
      </c>
      <c r="D419" s="85" t="str">
        <f aca="false">IF(A419="","",L419)</f>
        <v/>
      </c>
      <c r="E419" s="85" t="str">
        <f aca="false">IF(A419="","",INDEX($O$2:$O$8,L419))</f>
        <v/>
      </c>
      <c r="F419" s="85" t="str">
        <f aca="false">IF(A419="","",IF(ISNUMBER(INDEX(Candidates!$A$1:$Z$500,K419,INDEX($P$2:$P$8,L419))),INDEX(Candidates!$A$1:$Z$500,K419,INDEX($P$2:$P$8,L419)),""))</f>
        <v/>
      </c>
      <c r="G419" s="85" t="str">
        <f aca="false">IF(A419="","",INDEX($Q$2:$Q$8,L419))</f>
        <v/>
      </c>
      <c r="H419" s="85" t="str">
        <f aca="false">IF(A419="","",IF(F419="","Not yet scored",IF(F419&gt;=G419,"Pass","Fail")))</f>
        <v/>
      </c>
      <c r="I419" s="85" t="str">
        <f aca="false">IF(A419="","",INDEX(Candidates!$B$1:$B$500,K419))</f>
        <v/>
      </c>
      <c r="K419" s="86" t="n">
        <f aca="false">INT((ROW()-2)/7)+2</f>
        <v>61</v>
      </c>
      <c r="L419" s="86" t="n">
        <f aca="false">MOD(ROW()-2,7)+1</f>
        <v>5</v>
      </c>
    </row>
    <row r="420" customFormat="false" ht="15" hidden="false" customHeight="false" outlineLevel="0" collapsed="false">
      <c r="A420" s="85" t="str">
        <f aca="false">IF(INDEX(Candidates!$A$1:$A$500,K420)="","",INDEX(Candidates!$A$1:$A$500,K420))</f>
        <v/>
      </c>
      <c r="B420" s="85" t="str">
        <f aca="false">IF(A420="","",INDEX(Candidates!$C$1:$C$500,K420))</f>
        <v/>
      </c>
      <c r="C420" s="85" t="str">
        <f aca="false">IF(A420="","",INDEX(Candidates!$D$1:$D$500,K420))</f>
        <v/>
      </c>
      <c r="D420" s="85" t="str">
        <f aca="false">IF(A420="","",L420)</f>
        <v/>
      </c>
      <c r="E420" s="85" t="str">
        <f aca="false">IF(A420="","",INDEX($O$2:$O$8,L420))</f>
        <v/>
      </c>
      <c r="F420" s="85" t="str">
        <f aca="false">IF(A420="","",IF(ISNUMBER(INDEX(Candidates!$A$1:$Z$500,K420,INDEX($P$2:$P$8,L420))),INDEX(Candidates!$A$1:$Z$500,K420,INDEX($P$2:$P$8,L420)),""))</f>
        <v/>
      </c>
      <c r="G420" s="85" t="str">
        <f aca="false">IF(A420="","",INDEX($Q$2:$Q$8,L420))</f>
        <v/>
      </c>
      <c r="H420" s="85" t="str">
        <f aca="false">IF(A420="","",IF(F420="","Not yet scored",IF(F420&gt;=G420,"Pass","Fail")))</f>
        <v/>
      </c>
      <c r="I420" s="85" t="str">
        <f aca="false">IF(A420="","",INDEX(Candidates!$B$1:$B$500,K420))</f>
        <v/>
      </c>
      <c r="K420" s="86" t="n">
        <f aca="false">INT((ROW()-2)/7)+2</f>
        <v>61</v>
      </c>
      <c r="L420" s="86" t="n">
        <f aca="false">MOD(ROW()-2,7)+1</f>
        <v>6</v>
      </c>
    </row>
    <row r="421" customFormat="false" ht="15" hidden="false" customHeight="false" outlineLevel="0" collapsed="false">
      <c r="A421" s="85" t="str">
        <f aca="false">IF(INDEX(Candidates!$A$1:$A$500,K421)="","",INDEX(Candidates!$A$1:$A$500,K421))</f>
        <v/>
      </c>
      <c r="B421" s="85" t="str">
        <f aca="false">IF(A421="","",INDEX(Candidates!$C$1:$C$500,K421))</f>
        <v/>
      </c>
      <c r="C421" s="85" t="str">
        <f aca="false">IF(A421="","",INDEX(Candidates!$D$1:$D$500,K421))</f>
        <v/>
      </c>
      <c r="D421" s="85" t="str">
        <f aca="false">IF(A421="","",L421)</f>
        <v/>
      </c>
      <c r="E421" s="85" t="str">
        <f aca="false">IF(A421="","",INDEX($O$2:$O$8,L421))</f>
        <v/>
      </c>
      <c r="F421" s="85" t="str">
        <f aca="false">IF(A421="","",IF(ISNUMBER(INDEX(Candidates!$A$1:$Z$500,K421,INDEX($P$2:$P$8,L421))),INDEX(Candidates!$A$1:$Z$500,K421,INDEX($P$2:$P$8,L421)),""))</f>
        <v/>
      </c>
      <c r="G421" s="85" t="str">
        <f aca="false">IF(A421="","",INDEX($Q$2:$Q$8,L421))</f>
        <v/>
      </c>
      <c r="H421" s="85" t="str">
        <f aca="false">IF(A421="","",IF(F421="","Not yet scored",IF(F421&gt;=G421,"Pass","Fail")))</f>
        <v/>
      </c>
      <c r="I421" s="85" t="str">
        <f aca="false">IF(A421="","",INDEX(Candidates!$B$1:$B$500,K421))</f>
        <v/>
      </c>
      <c r="K421" s="86" t="n">
        <f aca="false">INT((ROW()-2)/7)+2</f>
        <v>61</v>
      </c>
      <c r="L421" s="86" t="n">
        <f aca="false">MOD(ROW()-2,7)+1</f>
        <v>7</v>
      </c>
    </row>
    <row r="422" customFormat="false" ht="15" hidden="false" customHeight="false" outlineLevel="0" collapsed="false">
      <c r="A422" s="85" t="str">
        <f aca="false">IF(INDEX(Candidates!$A$1:$A$500,K422)="","",INDEX(Candidates!$A$1:$A$500,K422))</f>
        <v/>
      </c>
      <c r="B422" s="85" t="str">
        <f aca="false">IF(A422="","",INDEX(Candidates!$C$1:$C$500,K422))</f>
        <v/>
      </c>
      <c r="C422" s="85" t="str">
        <f aca="false">IF(A422="","",INDEX(Candidates!$D$1:$D$500,K422))</f>
        <v/>
      </c>
      <c r="D422" s="85" t="str">
        <f aca="false">IF(A422="","",L422)</f>
        <v/>
      </c>
      <c r="E422" s="85" t="str">
        <f aca="false">IF(A422="","",INDEX($O$2:$O$8,L422))</f>
        <v/>
      </c>
      <c r="F422" s="85" t="str">
        <f aca="false">IF(A422="","",IF(ISNUMBER(INDEX(Candidates!$A$1:$Z$500,K422,INDEX($P$2:$P$8,L422))),INDEX(Candidates!$A$1:$Z$500,K422,INDEX($P$2:$P$8,L422)),""))</f>
        <v/>
      </c>
      <c r="G422" s="85" t="str">
        <f aca="false">IF(A422="","",INDEX($Q$2:$Q$8,L422))</f>
        <v/>
      </c>
      <c r="H422" s="85" t="str">
        <f aca="false">IF(A422="","",IF(F422="","Not yet scored",IF(F422&gt;=G422,"Pass","Fail")))</f>
        <v/>
      </c>
      <c r="I422" s="85" t="str">
        <f aca="false">IF(A422="","",INDEX(Candidates!$B$1:$B$500,K422))</f>
        <v/>
      </c>
      <c r="K422" s="86" t="n">
        <f aca="false">INT((ROW()-2)/7)+2</f>
        <v>62</v>
      </c>
      <c r="L422" s="86" t="n">
        <f aca="false">MOD(ROW()-2,7)+1</f>
        <v>1</v>
      </c>
    </row>
    <row r="423" customFormat="false" ht="15" hidden="false" customHeight="false" outlineLevel="0" collapsed="false">
      <c r="A423" s="85" t="str">
        <f aca="false">IF(INDEX(Candidates!$A$1:$A$500,K423)="","",INDEX(Candidates!$A$1:$A$500,K423))</f>
        <v/>
      </c>
      <c r="B423" s="85" t="str">
        <f aca="false">IF(A423="","",INDEX(Candidates!$C$1:$C$500,K423))</f>
        <v/>
      </c>
      <c r="C423" s="85" t="str">
        <f aca="false">IF(A423="","",INDEX(Candidates!$D$1:$D$500,K423))</f>
        <v/>
      </c>
      <c r="D423" s="85" t="str">
        <f aca="false">IF(A423="","",L423)</f>
        <v/>
      </c>
      <c r="E423" s="85" t="str">
        <f aca="false">IF(A423="","",INDEX($O$2:$O$8,L423))</f>
        <v/>
      </c>
      <c r="F423" s="85" t="str">
        <f aca="false">IF(A423="","",IF(ISNUMBER(INDEX(Candidates!$A$1:$Z$500,K423,INDEX($P$2:$P$8,L423))),INDEX(Candidates!$A$1:$Z$500,K423,INDEX($P$2:$P$8,L423)),""))</f>
        <v/>
      </c>
      <c r="G423" s="85" t="str">
        <f aca="false">IF(A423="","",INDEX($Q$2:$Q$8,L423))</f>
        <v/>
      </c>
      <c r="H423" s="85" t="str">
        <f aca="false">IF(A423="","",IF(F423="","Not yet scored",IF(F423&gt;=G423,"Pass","Fail")))</f>
        <v/>
      </c>
      <c r="I423" s="85" t="str">
        <f aca="false">IF(A423="","",INDEX(Candidates!$B$1:$B$500,K423))</f>
        <v/>
      </c>
      <c r="K423" s="86" t="n">
        <f aca="false">INT((ROW()-2)/7)+2</f>
        <v>62</v>
      </c>
      <c r="L423" s="86" t="n">
        <f aca="false">MOD(ROW()-2,7)+1</f>
        <v>2</v>
      </c>
    </row>
    <row r="424" customFormat="false" ht="15" hidden="false" customHeight="false" outlineLevel="0" collapsed="false">
      <c r="A424" s="85" t="str">
        <f aca="false">IF(INDEX(Candidates!$A$1:$A$500,K424)="","",INDEX(Candidates!$A$1:$A$500,K424))</f>
        <v/>
      </c>
      <c r="B424" s="85" t="str">
        <f aca="false">IF(A424="","",INDEX(Candidates!$C$1:$C$500,K424))</f>
        <v/>
      </c>
      <c r="C424" s="85" t="str">
        <f aca="false">IF(A424="","",INDEX(Candidates!$D$1:$D$500,K424))</f>
        <v/>
      </c>
      <c r="D424" s="85" t="str">
        <f aca="false">IF(A424="","",L424)</f>
        <v/>
      </c>
      <c r="E424" s="85" t="str">
        <f aca="false">IF(A424="","",INDEX($O$2:$O$8,L424))</f>
        <v/>
      </c>
      <c r="F424" s="85" t="str">
        <f aca="false">IF(A424="","",IF(ISNUMBER(INDEX(Candidates!$A$1:$Z$500,K424,INDEX($P$2:$P$8,L424))),INDEX(Candidates!$A$1:$Z$500,K424,INDEX($P$2:$P$8,L424)),""))</f>
        <v/>
      </c>
      <c r="G424" s="85" t="str">
        <f aca="false">IF(A424="","",INDEX($Q$2:$Q$8,L424))</f>
        <v/>
      </c>
      <c r="H424" s="85" t="str">
        <f aca="false">IF(A424="","",IF(F424="","Not yet scored",IF(F424&gt;=G424,"Pass","Fail")))</f>
        <v/>
      </c>
      <c r="I424" s="85" t="str">
        <f aca="false">IF(A424="","",INDEX(Candidates!$B$1:$B$500,K424))</f>
        <v/>
      </c>
      <c r="K424" s="86" t="n">
        <f aca="false">INT((ROW()-2)/7)+2</f>
        <v>62</v>
      </c>
      <c r="L424" s="86" t="n">
        <f aca="false">MOD(ROW()-2,7)+1</f>
        <v>3</v>
      </c>
    </row>
    <row r="425" customFormat="false" ht="15" hidden="false" customHeight="false" outlineLevel="0" collapsed="false">
      <c r="A425" s="85" t="str">
        <f aca="false">IF(INDEX(Candidates!$A$1:$A$500,K425)="","",INDEX(Candidates!$A$1:$A$500,K425))</f>
        <v/>
      </c>
      <c r="B425" s="85" t="str">
        <f aca="false">IF(A425="","",INDEX(Candidates!$C$1:$C$500,K425))</f>
        <v/>
      </c>
      <c r="C425" s="85" t="str">
        <f aca="false">IF(A425="","",INDEX(Candidates!$D$1:$D$500,K425))</f>
        <v/>
      </c>
      <c r="D425" s="85" t="str">
        <f aca="false">IF(A425="","",L425)</f>
        <v/>
      </c>
      <c r="E425" s="85" t="str">
        <f aca="false">IF(A425="","",INDEX($O$2:$O$8,L425))</f>
        <v/>
      </c>
      <c r="F425" s="85" t="str">
        <f aca="false">IF(A425="","",IF(ISNUMBER(INDEX(Candidates!$A$1:$Z$500,K425,INDEX($P$2:$P$8,L425))),INDEX(Candidates!$A$1:$Z$500,K425,INDEX($P$2:$P$8,L425)),""))</f>
        <v/>
      </c>
      <c r="G425" s="85" t="str">
        <f aca="false">IF(A425="","",INDEX($Q$2:$Q$8,L425))</f>
        <v/>
      </c>
      <c r="H425" s="85" t="str">
        <f aca="false">IF(A425="","",IF(F425="","Not yet scored",IF(F425&gt;=G425,"Pass","Fail")))</f>
        <v/>
      </c>
      <c r="I425" s="85" t="str">
        <f aca="false">IF(A425="","",INDEX(Candidates!$B$1:$B$500,K425))</f>
        <v/>
      </c>
      <c r="K425" s="86" t="n">
        <f aca="false">INT((ROW()-2)/7)+2</f>
        <v>62</v>
      </c>
      <c r="L425" s="86" t="n">
        <f aca="false">MOD(ROW()-2,7)+1</f>
        <v>4</v>
      </c>
    </row>
    <row r="426" customFormat="false" ht="15" hidden="false" customHeight="false" outlineLevel="0" collapsed="false">
      <c r="A426" s="85" t="str">
        <f aca="false">IF(INDEX(Candidates!$A$1:$A$500,K426)="","",INDEX(Candidates!$A$1:$A$500,K426))</f>
        <v/>
      </c>
      <c r="B426" s="85" t="str">
        <f aca="false">IF(A426="","",INDEX(Candidates!$C$1:$C$500,K426))</f>
        <v/>
      </c>
      <c r="C426" s="85" t="str">
        <f aca="false">IF(A426="","",INDEX(Candidates!$D$1:$D$500,K426))</f>
        <v/>
      </c>
      <c r="D426" s="85" t="str">
        <f aca="false">IF(A426="","",L426)</f>
        <v/>
      </c>
      <c r="E426" s="85" t="str">
        <f aca="false">IF(A426="","",INDEX($O$2:$O$8,L426))</f>
        <v/>
      </c>
      <c r="F426" s="85" t="str">
        <f aca="false">IF(A426="","",IF(ISNUMBER(INDEX(Candidates!$A$1:$Z$500,K426,INDEX($P$2:$P$8,L426))),INDEX(Candidates!$A$1:$Z$500,K426,INDEX($P$2:$P$8,L426)),""))</f>
        <v/>
      </c>
      <c r="G426" s="85" t="str">
        <f aca="false">IF(A426="","",INDEX($Q$2:$Q$8,L426))</f>
        <v/>
      </c>
      <c r="H426" s="85" t="str">
        <f aca="false">IF(A426="","",IF(F426="","Not yet scored",IF(F426&gt;=G426,"Pass","Fail")))</f>
        <v/>
      </c>
      <c r="I426" s="85" t="str">
        <f aca="false">IF(A426="","",INDEX(Candidates!$B$1:$B$500,K426))</f>
        <v/>
      </c>
      <c r="K426" s="86" t="n">
        <f aca="false">INT((ROW()-2)/7)+2</f>
        <v>62</v>
      </c>
      <c r="L426" s="86" t="n">
        <f aca="false">MOD(ROW()-2,7)+1</f>
        <v>5</v>
      </c>
    </row>
    <row r="427" customFormat="false" ht="15" hidden="false" customHeight="false" outlineLevel="0" collapsed="false">
      <c r="A427" s="85" t="str">
        <f aca="false">IF(INDEX(Candidates!$A$1:$A$500,K427)="","",INDEX(Candidates!$A$1:$A$500,K427))</f>
        <v/>
      </c>
      <c r="B427" s="85" t="str">
        <f aca="false">IF(A427="","",INDEX(Candidates!$C$1:$C$500,K427))</f>
        <v/>
      </c>
      <c r="C427" s="85" t="str">
        <f aca="false">IF(A427="","",INDEX(Candidates!$D$1:$D$500,K427))</f>
        <v/>
      </c>
      <c r="D427" s="85" t="str">
        <f aca="false">IF(A427="","",L427)</f>
        <v/>
      </c>
      <c r="E427" s="85" t="str">
        <f aca="false">IF(A427="","",INDEX($O$2:$O$8,L427))</f>
        <v/>
      </c>
      <c r="F427" s="85" t="str">
        <f aca="false">IF(A427="","",IF(ISNUMBER(INDEX(Candidates!$A$1:$Z$500,K427,INDEX($P$2:$P$8,L427))),INDEX(Candidates!$A$1:$Z$500,K427,INDEX($P$2:$P$8,L427)),""))</f>
        <v/>
      </c>
      <c r="G427" s="85" t="str">
        <f aca="false">IF(A427="","",INDEX($Q$2:$Q$8,L427))</f>
        <v/>
      </c>
      <c r="H427" s="85" t="str">
        <f aca="false">IF(A427="","",IF(F427="","Not yet scored",IF(F427&gt;=G427,"Pass","Fail")))</f>
        <v/>
      </c>
      <c r="I427" s="85" t="str">
        <f aca="false">IF(A427="","",INDEX(Candidates!$B$1:$B$500,K427))</f>
        <v/>
      </c>
      <c r="K427" s="86" t="n">
        <f aca="false">INT((ROW()-2)/7)+2</f>
        <v>62</v>
      </c>
      <c r="L427" s="86" t="n">
        <f aca="false">MOD(ROW()-2,7)+1</f>
        <v>6</v>
      </c>
    </row>
    <row r="428" customFormat="false" ht="15" hidden="false" customHeight="false" outlineLevel="0" collapsed="false">
      <c r="A428" s="85" t="str">
        <f aca="false">IF(INDEX(Candidates!$A$1:$A$500,K428)="","",INDEX(Candidates!$A$1:$A$500,K428))</f>
        <v/>
      </c>
      <c r="B428" s="85" t="str">
        <f aca="false">IF(A428="","",INDEX(Candidates!$C$1:$C$500,K428))</f>
        <v/>
      </c>
      <c r="C428" s="85" t="str">
        <f aca="false">IF(A428="","",INDEX(Candidates!$D$1:$D$500,K428))</f>
        <v/>
      </c>
      <c r="D428" s="85" t="str">
        <f aca="false">IF(A428="","",L428)</f>
        <v/>
      </c>
      <c r="E428" s="85" t="str">
        <f aca="false">IF(A428="","",INDEX($O$2:$O$8,L428))</f>
        <v/>
      </c>
      <c r="F428" s="85" t="str">
        <f aca="false">IF(A428="","",IF(ISNUMBER(INDEX(Candidates!$A$1:$Z$500,K428,INDEX($P$2:$P$8,L428))),INDEX(Candidates!$A$1:$Z$500,K428,INDEX($P$2:$P$8,L428)),""))</f>
        <v/>
      </c>
      <c r="G428" s="85" t="str">
        <f aca="false">IF(A428="","",INDEX($Q$2:$Q$8,L428))</f>
        <v/>
      </c>
      <c r="H428" s="85" t="str">
        <f aca="false">IF(A428="","",IF(F428="","Not yet scored",IF(F428&gt;=G428,"Pass","Fail")))</f>
        <v/>
      </c>
      <c r="I428" s="85" t="str">
        <f aca="false">IF(A428="","",INDEX(Candidates!$B$1:$B$500,K428))</f>
        <v/>
      </c>
      <c r="K428" s="86" t="n">
        <f aca="false">INT((ROW()-2)/7)+2</f>
        <v>62</v>
      </c>
      <c r="L428" s="86" t="n">
        <f aca="false">MOD(ROW()-2,7)+1</f>
        <v>7</v>
      </c>
    </row>
    <row r="429" customFormat="false" ht="15" hidden="false" customHeight="false" outlineLevel="0" collapsed="false">
      <c r="A429" s="85" t="str">
        <f aca="false">IF(INDEX(Candidates!$A$1:$A$500,K429)="","",INDEX(Candidates!$A$1:$A$500,K429))</f>
        <v/>
      </c>
      <c r="B429" s="85" t="str">
        <f aca="false">IF(A429="","",INDEX(Candidates!$C$1:$C$500,K429))</f>
        <v/>
      </c>
      <c r="C429" s="85" t="str">
        <f aca="false">IF(A429="","",INDEX(Candidates!$D$1:$D$500,K429))</f>
        <v/>
      </c>
      <c r="D429" s="85" t="str">
        <f aca="false">IF(A429="","",L429)</f>
        <v/>
      </c>
      <c r="E429" s="85" t="str">
        <f aca="false">IF(A429="","",INDEX($O$2:$O$8,L429))</f>
        <v/>
      </c>
      <c r="F429" s="85" t="str">
        <f aca="false">IF(A429="","",IF(ISNUMBER(INDEX(Candidates!$A$1:$Z$500,K429,INDEX($P$2:$P$8,L429))),INDEX(Candidates!$A$1:$Z$500,K429,INDEX($P$2:$P$8,L429)),""))</f>
        <v/>
      </c>
      <c r="G429" s="85" t="str">
        <f aca="false">IF(A429="","",INDEX($Q$2:$Q$8,L429))</f>
        <v/>
      </c>
      <c r="H429" s="85" t="str">
        <f aca="false">IF(A429="","",IF(F429="","Not yet scored",IF(F429&gt;=G429,"Pass","Fail")))</f>
        <v/>
      </c>
      <c r="I429" s="85" t="str">
        <f aca="false">IF(A429="","",INDEX(Candidates!$B$1:$B$500,K429))</f>
        <v/>
      </c>
      <c r="K429" s="86" t="n">
        <f aca="false">INT((ROW()-2)/7)+2</f>
        <v>63</v>
      </c>
      <c r="L429" s="86" t="n">
        <f aca="false">MOD(ROW()-2,7)+1</f>
        <v>1</v>
      </c>
    </row>
    <row r="430" customFormat="false" ht="15" hidden="false" customHeight="false" outlineLevel="0" collapsed="false">
      <c r="A430" s="85" t="str">
        <f aca="false">IF(INDEX(Candidates!$A$1:$A$500,K430)="","",INDEX(Candidates!$A$1:$A$500,K430))</f>
        <v/>
      </c>
      <c r="B430" s="85" t="str">
        <f aca="false">IF(A430="","",INDEX(Candidates!$C$1:$C$500,K430))</f>
        <v/>
      </c>
      <c r="C430" s="85" t="str">
        <f aca="false">IF(A430="","",INDEX(Candidates!$D$1:$D$500,K430))</f>
        <v/>
      </c>
      <c r="D430" s="85" t="str">
        <f aca="false">IF(A430="","",L430)</f>
        <v/>
      </c>
      <c r="E430" s="85" t="str">
        <f aca="false">IF(A430="","",INDEX($O$2:$O$8,L430))</f>
        <v/>
      </c>
      <c r="F430" s="85" t="str">
        <f aca="false">IF(A430="","",IF(ISNUMBER(INDEX(Candidates!$A$1:$Z$500,K430,INDEX($P$2:$P$8,L430))),INDEX(Candidates!$A$1:$Z$500,K430,INDEX($P$2:$P$8,L430)),""))</f>
        <v/>
      </c>
      <c r="G430" s="85" t="str">
        <f aca="false">IF(A430="","",INDEX($Q$2:$Q$8,L430))</f>
        <v/>
      </c>
      <c r="H430" s="85" t="str">
        <f aca="false">IF(A430="","",IF(F430="","Not yet scored",IF(F430&gt;=G430,"Pass","Fail")))</f>
        <v/>
      </c>
      <c r="I430" s="85" t="str">
        <f aca="false">IF(A430="","",INDEX(Candidates!$B$1:$B$500,K430))</f>
        <v/>
      </c>
      <c r="K430" s="86" t="n">
        <f aca="false">INT((ROW()-2)/7)+2</f>
        <v>63</v>
      </c>
      <c r="L430" s="86" t="n">
        <f aca="false">MOD(ROW()-2,7)+1</f>
        <v>2</v>
      </c>
    </row>
    <row r="431" customFormat="false" ht="15" hidden="false" customHeight="false" outlineLevel="0" collapsed="false">
      <c r="A431" s="85" t="str">
        <f aca="false">IF(INDEX(Candidates!$A$1:$A$500,K431)="","",INDEX(Candidates!$A$1:$A$500,K431))</f>
        <v/>
      </c>
      <c r="B431" s="85" t="str">
        <f aca="false">IF(A431="","",INDEX(Candidates!$C$1:$C$500,K431))</f>
        <v/>
      </c>
      <c r="C431" s="85" t="str">
        <f aca="false">IF(A431="","",INDEX(Candidates!$D$1:$D$500,K431))</f>
        <v/>
      </c>
      <c r="D431" s="85" t="str">
        <f aca="false">IF(A431="","",L431)</f>
        <v/>
      </c>
      <c r="E431" s="85" t="str">
        <f aca="false">IF(A431="","",INDEX($O$2:$O$8,L431))</f>
        <v/>
      </c>
      <c r="F431" s="85" t="str">
        <f aca="false">IF(A431="","",IF(ISNUMBER(INDEX(Candidates!$A$1:$Z$500,K431,INDEX($P$2:$P$8,L431))),INDEX(Candidates!$A$1:$Z$500,K431,INDEX($P$2:$P$8,L431)),""))</f>
        <v/>
      </c>
      <c r="G431" s="85" t="str">
        <f aca="false">IF(A431="","",INDEX($Q$2:$Q$8,L431))</f>
        <v/>
      </c>
      <c r="H431" s="85" t="str">
        <f aca="false">IF(A431="","",IF(F431="","Not yet scored",IF(F431&gt;=G431,"Pass","Fail")))</f>
        <v/>
      </c>
      <c r="I431" s="85" t="str">
        <f aca="false">IF(A431="","",INDEX(Candidates!$B$1:$B$500,K431))</f>
        <v/>
      </c>
      <c r="K431" s="86" t="n">
        <f aca="false">INT((ROW()-2)/7)+2</f>
        <v>63</v>
      </c>
      <c r="L431" s="86" t="n">
        <f aca="false">MOD(ROW()-2,7)+1</f>
        <v>3</v>
      </c>
    </row>
    <row r="432" customFormat="false" ht="15" hidden="false" customHeight="false" outlineLevel="0" collapsed="false">
      <c r="A432" s="85" t="str">
        <f aca="false">IF(INDEX(Candidates!$A$1:$A$500,K432)="","",INDEX(Candidates!$A$1:$A$500,K432))</f>
        <v/>
      </c>
      <c r="B432" s="85" t="str">
        <f aca="false">IF(A432="","",INDEX(Candidates!$C$1:$C$500,K432))</f>
        <v/>
      </c>
      <c r="C432" s="85" t="str">
        <f aca="false">IF(A432="","",INDEX(Candidates!$D$1:$D$500,K432))</f>
        <v/>
      </c>
      <c r="D432" s="85" t="str">
        <f aca="false">IF(A432="","",L432)</f>
        <v/>
      </c>
      <c r="E432" s="85" t="str">
        <f aca="false">IF(A432="","",INDEX($O$2:$O$8,L432))</f>
        <v/>
      </c>
      <c r="F432" s="85" t="str">
        <f aca="false">IF(A432="","",IF(ISNUMBER(INDEX(Candidates!$A$1:$Z$500,K432,INDEX($P$2:$P$8,L432))),INDEX(Candidates!$A$1:$Z$500,K432,INDEX($P$2:$P$8,L432)),""))</f>
        <v/>
      </c>
      <c r="G432" s="85" t="str">
        <f aca="false">IF(A432="","",INDEX($Q$2:$Q$8,L432))</f>
        <v/>
      </c>
      <c r="H432" s="85" t="str">
        <f aca="false">IF(A432="","",IF(F432="","Not yet scored",IF(F432&gt;=G432,"Pass","Fail")))</f>
        <v/>
      </c>
      <c r="I432" s="85" t="str">
        <f aca="false">IF(A432="","",INDEX(Candidates!$B$1:$B$500,K432))</f>
        <v/>
      </c>
      <c r="K432" s="86" t="n">
        <f aca="false">INT((ROW()-2)/7)+2</f>
        <v>63</v>
      </c>
      <c r="L432" s="86" t="n">
        <f aca="false">MOD(ROW()-2,7)+1</f>
        <v>4</v>
      </c>
    </row>
    <row r="433" customFormat="false" ht="15" hidden="false" customHeight="false" outlineLevel="0" collapsed="false">
      <c r="A433" s="85" t="str">
        <f aca="false">IF(INDEX(Candidates!$A$1:$A$500,K433)="","",INDEX(Candidates!$A$1:$A$500,K433))</f>
        <v/>
      </c>
      <c r="B433" s="85" t="str">
        <f aca="false">IF(A433="","",INDEX(Candidates!$C$1:$C$500,K433))</f>
        <v/>
      </c>
      <c r="C433" s="85" t="str">
        <f aca="false">IF(A433="","",INDEX(Candidates!$D$1:$D$500,K433))</f>
        <v/>
      </c>
      <c r="D433" s="85" t="str">
        <f aca="false">IF(A433="","",L433)</f>
        <v/>
      </c>
      <c r="E433" s="85" t="str">
        <f aca="false">IF(A433="","",INDEX($O$2:$O$8,L433))</f>
        <v/>
      </c>
      <c r="F433" s="85" t="str">
        <f aca="false">IF(A433="","",IF(ISNUMBER(INDEX(Candidates!$A$1:$Z$500,K433,INDEX($P$2:$P$8,L433))),INDEX(Candidates!$A$1:$Z$500,K433,INDEX($P$2:$P$8,L433)),""))</f>
        <v/>
      </c>
      <c r="G433" s="85" t="str">
        <f aca="false">IF(A433="","",INDEX($Q$2:$Q$8,L433))</f>
        <v/>
      </c>
      <c r="H433" s="85" t="str">
        <f aca="false">IF(A433="","",IF(F433="","Not yet scored",IF(F433&gt;=G433,"Pass","Fail")))</f>
        <v/>
      </c>
      <c r="I433" s="85" t="str">
        <f aca="false">IF(A433="","",INDEX(Candidates!$B$1:$B$500,K433))</f>
        <v/>
      </c>
      <c r="K433" s="86" t="n">
        <f aca="false">INT((ROW()-2)/7)+2</f>
        <v>63</v>
      </c>
      <c r="L433" s="86" t="n">
        <f aca="false">MOD(ROW()-2,7)+1</f>
        <v>5</v>
      </c>
    </row>
    <row r="434" customFormat="false" ht="15" hidden="false" customHeight="false" outlineLevel="0" collapsed="false">
      <c r="A434" s="85" t="str">
        <f aca="false">IF(INDEX(Candidates!$A$1:$A$500,K434)="","",INDEX(Candidates!$A$1:$A$500,K434))</f>
        <v/>
      </c>
      <c r="B434" s="85" t="str">
        <f aca="false">IF(A434="","",INDEX(Candidates!$C$1:$C$500,K434))</f>
        <v/>
      </c>
      <c r="C434" s="85" t="str">
        <f aca="false">IF(A434="","",INDEX(Candidates!$D$1:$D$500,K434))</f>
        <v/>
      </c>
      <c r="D434" s="85" t="str">
        <f aca="false">IF(A434="","",L434)</f>
        <v/>
      </c>
      <c r="E434" s="85" t="str">
        <f aca="false">IF(A434="","",INDEX($O$2:$O$8,L434))</f>
        <v/>
      </c>
      <c r="F434" s="85" t="str">
        <f aca="false">IF(A434="","",IF(ISNUMBER(INDEX(Candidates!$A$1:$Z$500,K434,INDEX($P$2:$P$8,L434))),INDEX(Candidates!$A$1:$Z$500,K434,INDEX($P$2:$P$8,L434)),""))</f>
        <v/>
      </c>
      <c r="G434" s="85" t="str">
        <f aca="false">IF(A434="","",INDEX($Q$2:$Q$8,L434))</f>
        <v/>
      </c>
      <c r="H434" s="85" t="str">
        <f aca="false">IF(A434="","",IF(F434="","Not yet scored",IF(F434&gt;=G434,"Pass","Fail")))</f>
        <v/>
      </c>
      <c r="I434" s="85" t="str">
        <f aca="false">IF(A434="","",INDEX(Candidates!$B$1:$B$500,K434))</f>
        <v/>
      </c>
      <c r="K434" s="86" t="n">
        <f aca="false">INT((ROW()-2)/7)+2</f>
        <v>63</v>
      </c>
      <c r="L434" s="86" t="n">
        <f aca="false">MOD(ROW()-2,7)+1</f>
        <v>6</v>
      </c>
    </row>
    <row r="435" customFormat="false" ht="15" hidden="false" customHeight="false" outlineLevel="0" collapsed="false">
      <c r="A435" s="85" t="str">
        <f aca="false">IF(INDEX(Candidates!$A$1:$A$500,K435)="","",INDEX(Candidates!$A$1:$A$500,K435))</f>
        <v/>
      </c>
      <c r="B435" s="85" t="str">
        <f aca="false">IF(A435="","",INDEX(Candidates!$C$1:$C$500,K435))</f>
        <v/>
      </c>
      <c r="C435" s="85" t="str">
        <f aca="false">IF(A435="","",INDEX(Candidates!$D$1:$D$500,K435))</f>
        <v/>
      </c>
      <c r="D435" s="85" t="str">
        <f aca="false">IF(A435="","",L435)</f>
        <v/>
      </c>
      <c r="E435" s="85" t="str">
        <f aca="false">IF(A435="","",INDEX($O$2:$O$8,L435))</f>
        <v/>
      </c>
      <c r="F435" s="85" t="str">
        <f aca="false">IF(A435="","",IF(ISNUMBER(INDEX(Candidates!$A$1:$Z$500,K435,INDEX($P$2:$P$8,L435))),INDEX(Candidates!$A$1:$Z$500,K435,INDEX($P$2:$P$8,L435)),""))</f>
        <v/>
      </c>
      <c r="G435" s="85" t="str">
        <f aca="false">IF(A435="","",INDEX($Q$2:$Q$8,L435))</f>
        <v/>
      </c>
      <c r="H435" s="85" t="str">
        <f aca="false">IF(A435="","",IF(F435="","Not yet scored",IF(F435&gt;=G435,"Pass","Fail")))</f>
        <v/>
      </c>
      <c r="I435" s="85" t="str">
        <f aca="false">IF(A435="","",INDEX(Candidates!$B$1:$B$500,K435))</f>
        <v/>
      </c>
      <c r="K435" s="86" t="n">
        <f aca="false">INT((ROW()-2)/7)+2</f>
        <v>63</v>
      </c>
      <c r="L435" s="86" t="n">
        <f aca="false">MOD(ROW()-2,7)+1</f>
        <v>7</v>
      </c>
    </row>
    <row r="436" customFormat="false" ht="15" hidden="false" customHeight="false" outlineLevel="0" collapsed="false">
      <c r="A436" s="85" t="str">
        <f aca="false">IF(INDEX(Candidates!$A$1:$A$500,K436)="","",INDEX(Candidates!$A$1:$A$500,K436))</f>
        <v/>
      </c>
      <c r="B436" s="85" t="str">
        <f aca="false">IF(A436="","",INDEX(Candidates!$C$1:$C$500,K436))</f>
        <v/>
      </c>
      <c r="C436" s="85" t="str">
        <f aca="false">IF(A436="","",INDEX(Candidates!$D$1:$D$500,K436))</f>
        <v/>
      </c>
      <c r="D436" s="85" t="str">
        <f aca="false">IF(A436="","",L436)</f>
        <v/>
      </c>
      <c r="E436" s="85" t="str">
        <f aca="false">IF(A436="","",INDEX($O$2:$O$8,L436))</f>
        <v/>
      </c>
      <c r="F436" s="85" t="str">
        <f aca="false">IF(A436="","",IF(ISNUMBER(INDEX(Candidates!$A$1:$Z$500,K436,INDEX($P$2:$P$8,L436))),INDEX(Candidates!$A$1:$Z$500,K436,INDEX($P$2:$P$8,L436)),""))</f>
        <v/>
      </c>
      <c r="G436" s="85" t="str">
        <f aca="false">IF(A436="","",INDEX($Q$2:$Q$8,L436))</f>
        <v/>
      </c>
      <c r="H436" s="85" t="str">
        <f aca="false">IF(A436="","",IF(F436="","Not yet scored",IF(F436&gt;=G436,"Pass","Fail")))</f>
        <v/>
      </c>
      <c r="I436" s="85" t="str">
        <f aca="false">IF(A436="","",INDEX(Candidates!$B$1:$B$500,K436))</f>
        <v/>
      </c>
      <c r="K436" s="86" t="n">
        <f aca="false">INT((ROW()-2)/7)+2</f>
        <v>64</v>
      </c>
      <c r="L436" s="86" t="n">
        <f aca="false">MOD(ROW()-2,7)+1</f>
        <v>1</v>
      </c>
    </row>
    <row r="437" customFormat="false" ht="15" hidden="false" customHeight="false" outlineLevel="0" collapsed="false">
      <c r="A437" s="85" t="str">
        <f aca="false">IF(INDEX(Candidates!$A$1:$A$500,K437)="","",INDEX(Candidates!$A$1:$A$500,K437))</f>
        <v/>
      </c>
      <c r="B437" s="85" t="str">
        <f aca="false">IF(A437="","",INDEX(Candidates!$C$1:$C$500,K437))</f>
        <v/>
      </c>
      <c r="C437" s="85" t="str">
        <f aca="false">IF(A437="","",INDEX(Candidates!$D$1:$D$500,K437))</f>
        <v/>
      </c>
      <c r="D437" s="85" t="str">
        <f aca="false">IF(A437="","",L437)</f>
        <v/>
      </c>
      <c r="E437" s="85" t="str">
        <f aca="false">IF(A437="","",INDEX($O$2:$O$8,L437))</f>
        <v/>
      </c>
      <c r="F437" s="85" t="str">
        <f aca="false">IF(A437="","",IF(ISNUMBER(INDEX(Candidates!$A$1:$Z$500,K437,INDEX($P$2:$P$8,L437))),INDEX(Candidates!$A$1:$Z$500,K437,INDEX($P$2:$P$8,L437)),""))</f>
        <v/>
      </c>
      <c r="G437" s="85" t="str">
        <f aca="false">IF(A437="","",INDEX($Q$2:$Q$8,L437))</f>
        <v/>
      </c>
      <c r="H437" s="85" t="str">
        <f aca="false">IF(A437="","",IF(F437="","Not yet scored",IF(F437&gt;=G437,"Pass","Fail")))</f>
        <v/>
      </c>
      <c r="I437" s="85" t="str">
        <f aca="false">IF(A437="","",INDEX(Candidates!$B$1:$B$500,K437))</f>
        <v/>
      </c>
      <c r="K437" s="86" t="n">
        <f aca="false">INT((ROW()-2)/7)+2</f>
        <v>64</v>
      </c>
      <c r="L437" s="86" t="n">
        <f aca="false">MOD(ROW()-2,7)+1</f>
        <v>2</v>
      </c>
    </row>
    <row r="438" customFormat="false" ht="15" hidden="false" customHeight="false" outlineLevel="0" collapsed="false">
      <c r="A438" s="85" t="str">
        <f aca="false">IF(INDEX(Candidates!$A$1:$A$500,K438)="","",INDEX(Candidates!$A$1:$A$500,K438))</f>
        <v/>
      </c>
      <c r="B438" s="85" t="str">
        <f aca="false">IF(A438="","",INDEX(Candidates!$C$1:$C$500,K438))</f>
        <v/>
      </c>
      <c r="C438" s="85" t="str">
        <f aca="false">IF(A438="","",INDEX(Candidates!$D$1:$D$500,K438))</f>
        <v/>
      </c>
      <c r="D438" s="85" t="str">
        <f aca="false">IF(A438="","",L438)</f>
        <v/>
      </c>
      <c r="E438" s="85" t="str">
        <f aca="false">IF(A438="","",INDEX($O$2:$O$8,L438))</f>
        <v/>
      </c>
      <c r="F438" s="85" t="str">
        <f aca="false">IF(A438="","",IF(ISNUMBER(INDEX(Candidates!$A$1:$Z$500,K438,INDEX($P$2:$P$8,L438))),INDEX(Candidates!$A$1:$Z$500,K438,INDEX($P$2:$P$8,L438)),""))</f>
        <v/>
      </c>
      <c r="G438" s="85" t="str">
        <f aca="false">IF(A438="","",INDEX($Q$2:$Q$8,L438))</f>
        <v/>
      </c>
      <c r="H438" s="85" t="str">
        <f aca="false">IF(A438="","",IF(F438="","Not yet scored",IF(F438&gt;=G438,"Pass","Fail")))</f>
        <v/>
      </c>
      <c r="I438" s="85" t="str">
        <f aca="false">IF(A438="","",INDEX(Candidates!$B$1:$B$500,K438))</f>
        <v/>
      </c>
      <c r="K438" s="86" t="n">
        <f aca="false">INT((ROW()-2)/7)+2</f>
        <v>64</v>
      </c>
      <c r="L438" s="86" t="n">
        <f aca="false">MOD(ROW()-2,7)+1</f>
        <v>3</v>
      </c>
    </row>
    <row r="439" customFormat="false" ht="15" hidden="false" customHeight="false" outlineLevel="0" collapsed="false">
      <c r="A439" s="85" t="str">
        <f aca="false">IF(INDEX(Candidates!$A$1:$A$500,K439)="","",INDEX(Candidates!$A$1:$A$500,K439))</f>
        <v/>
      </c>
      <c r="B439" s="85" t="str">
        <f aca="false">IF(A439="","",INDEX(Candidates!$C$1:$C$500,K439))</f>
        <v/>
      </c>
      <c r="C439" s="85" t="str">
        <f aca="false">IF(A439="","",INDEX(Candidates!$D$1:$D$500,K439))</f>
        <v/>
      </c>
      <c r="D439" s="85" t="str">
        <f aca="false">IF(A439="","",L439)</f>
        <v/>
      </c>
      <c r="E439" s="85" t="str">
        <f aca="false">IF(A439="","",INDEX($O$2:$O$8,L439))</f>
        <v/>
      </c>
      <c r="F439" s="85" t="str">
        <f aca="false">IF(A439="","",IF(ISNUMBER(INDEX(Candidates!$A$1:$Z$500,K439,INDEX($P$2:$P$8,L439))),INDEX(Candidates!$A$1:$Z$500,K439,INDEX($P$2:$P$8,L439)),""))</f>
        <v/>
      </c>
      <c r="G439" s="85" t="str">
        <f aca="false">IF(A439="","",INDEX($Q$2:$Q$8,L439))</f>
        <v/>
      </c>
      <c r="H439" s="85" t="str">
        <f aca="false">IF(A439="","",IF(F439="","Not yet scored",IF(F439&gt;=G439,"Pass","Fail")))</f>
        <v/>
      </c>
      <c r="I439" s="85" t="str">
        <f aca="false">IF(A439="","",INDEX(Candidates!$B$1:$B$500,K439))</f>
        <v/>
      </c>
      <c r="K439" s="86" t="n">
        <f aca="false">INT((ROW()-2)/7)+2</f>
        <v>64</v>
      </c>
      <c r="L439" s="86" t="n">
        <f aca="false">MOD(ROW()-2,7)+1</f>
        <v>4</v>
      </c>
    </row>
    <row r="440" customFormat="false" ht="15" hidden="false" customHeight="false" outlineLevel="0" collapsed="false">
      <c r="A440" s="85" t="str">
        <f aca="false">IF(INDEX(Candidates!$A$1:$A$500,K440)="","",INDEX(Candidates!$A$1:$A$500,K440))</f>
        <v/>
      </c>
      <c r="B440" s="85" t="str">
        <f aca="false">IF(A440="","",INDEX(Candidates!$C$1:$C$500,K440))</f>
        <v/>
      </c>
      <c r="C440" s="85" t="str">
        <f aca="false">IF(A440="","",INDEX(Candidates!$D$1:$D$500,K440))</f>
        <v/>
      </c>
      <c r="D440" s="85" t="str">
        <f aca="false">IF(A440="","",L440)</f>
        <v/>
      </c>
      <c r="E440" s="85" t="str">
        <f aca="false">IF(A440="","",INDEX($O$2:$O$8,L440))</f>
        <v/>
      </c>
      <c r="F440" s="85" t="str">
        <f aca="false">IF(A440="","",IF(ISNUMBER(INDEX(Candidates!$A$1:$Z$500,K440,INDEX($P$2:$P$8,L440))),INDEX(Candidates!$A$1:$Z$500,K440,INDEX($P$2:$P$8,L440)),""))</f>
        <v/>
      </c>
      <c r="G440" s="85" t="str">
        <f aca="false">IF(A440="","",INDEX($Q$2:$Q$8,L440))</f>
        <v/>
      </c>
      <c r="H440" s="85" t="str">
        <f aca="false">IF(A440="","",IF(F440="","Not yet scored",IF(F440&gt;=G440,"Pass","Fail")))</f>
        <v/>
      </c>
      <c r="I440" s="85" t="str">
        <f aca="false">IF(A440="","",INDEX(Candidates!$B$1:$B$500,K440))</f>
        <v/>
      </c>
      <c r="K440" s="86" t="n">
        <f aca="false">INT((ROW()-2)/7)+2</f>
        <v>64</v>
      </c>
      <c r="L440" s="86" t="n">
        <f aca="false">MOD(ROW()-2,7)+1</f>
        <v>5</v>
      </c>
    </row>
    <row r="441" customFormat="false" ht="15" hidden="false" customHeight="false" outlineLevel="0" collapsed="false">
      <c r="A441" s="85" t="str">
        <f aca="false">IF(INDEX(Candidates!$A$1:$A$500,K441)="","",INDEX(Candidates!$A$1:$A$500,K441))</f>
        <v/>
      </c>
      <c r="B441" s="85" t="str">
        <f aca="false">IF(A441="","",INDEX(Candidates!$C$1:$C$500,K441))</f>
        <v/>
      </c>
      <c r="C441" s="85" t="str">
        <f aca="false">IF(A441="","",INDEX(Candidates!$D$1:$D$500,K441))</f>
        <v/>
      </c>
      <c r="D441" s="85" t="str">
        <f aca="false">IF(A441="","",L441)</f>
        <v/>
      </c>
      <c r="E441" s="85" t="str">
        <f aca="false">IF(A441="","",INDEX($O$2:$O$8,L441))</f>
        <v/>
      </c>
      <c r="F441" s="85" t="str">
        <f aca="false">IF(A441="","",IF(ISNUMBER(INDEX(Candidates!$A$1:$Z$500,K441,INDEX($P$2:$P$8,L441))),INDEX(Candidates!$A$1:$Z$500,K441,INDEX($P$2:$P$8,L441)),""))</f>
        <v/>
      </c>
      <c r="G441" s="85" t="str">
        <f aca="false">IF(A441="","",INDEX($Q$2:$Q$8,L441))</f>
        <v/>
      </c>
      <c r="H441" s="85" t="str">
        <f aca="false">IF(A441="","",IF(F441="","Not yet scored",IF(F441&gt;=G441,"Pass","Fail")))</f>
        <v/>
      </c>
      <c r="I441" s="85" t="str">
        <f aca="false">IF(A441="","",INDEX(Candidates!$B$1:$B$500,K441))</f>
        <v/>
      </c>
      <c r="K441" s="86" t="n">
        <f aca="false">INT((ROW()-2)/7)+2</f>
        <v>64</v>
      </c>
      <c r="L441" s="86" t="n">
        <f aca="false">MOD(ROW()-2,7)+1</f>
        <v>6</v>
      </c>
    </row>
    <row r="442" customFormat="false" ht="15" hidden="false" customHeight="false" outlineLevel="0" collapsed="false">
      <c r="A442" s="85" t="str">
        <f aca="false">IF(INDEX(Candidates!$A$1:$A$500,K442)="","",INDEX(Candidates!$A$1:$A$500,K442))</f>
        <v/>
      </c>
      <c r="B442" s="85" t="str">
        <f aca="false">IF(A442="","",INDEX(Candidates!$C$1:$C$500,K442))</f>
        <v/>
      </c>
      <c r="C442" s="85" t="str">
        <f aca="false">IF(A442="","",INDEX(Candidates!$D$1:$D$500,K442))</f>
        <v/>
      </c>
      <c r="D442" s="85" t="str">
        <f aca="false">IF(A442="","",L442)</f>
        <v/>
      </c>
      <c r="E442" s="85" t="str">
        <f aca="false">IF(A442="","",INDEX($O$2:$O$8,L442))</f>
        <v/>
      </c>
      <c r="F442" s="85" t="str">
        <f aca="false">IF(A442="","",IF(ISNUMBER(INDEX(Candidates!$A$1:$Z$500,K442,INDEX($P$2:$P$8,L442))),INDEX(Candidates!$A$1:$Z$500,K442,INDEX($P$2:$P$8,L442)),""))</f>
        <v/>
      </c>
      <c r="G442" s="85" t="str">
        <f aca="false">IF(A442="","",INDEX($Q$2:$Q$8,L442))</f>
        <v/>
      </c>
      <c r="H442" s="85" t="str">
        <f aca="false">IF(A442="","",IF(F442="","Not yet scored",IF(F442&gt;=G442,"Pass","Fail")))</f>
        <v/>
      </c>
      <c r="I442" s="85" t="str">
        <f aca="false">IF(A442="","",INDEX(Candidates!$B$1:$B$500,K442))</f>
        <v/>
      </c>
      <c r="K442" s="86" t="n">
        <f aca="false">INT((ROW()-2)/7)+2</f>
        <v>64</v>
      </c>
      <c r="L442" s="86" t="n">
        <f aca="false">MOD(ROW()-2,7)+1</f>
        <v>7</v>
      </c>
    </row>
    <row r="443" customFormat="false" ht="15" hidden="false" customHeight="false" outlineLevel="0" collapsed="false">
      <c r="A443" s="85" t="str">
        <f aca="false">IF(INDEX(Candidates!$A$1:$A$500,K443)="","",INDEX(Candidates!$A$1:$A$500,K443))</f>
        <v/>
      </c>
      <c r="B443" s="85" t="str">
        <f aca="false">IF(A443="","",INDEX(Candidates!$C$1:$C$500,K443))</f>
        <v/>
      </c>
      <c r="C443" s="85" t="str">
        <f aca="false">IF(A443="","",INDEX(Candidates!$D$1:$D$500,K443))</f>
        <v/>
      </c>
      <c r="D443" s="85" t="str">
        <f aca="false">IF(A443="","",L443)</f>
        <v/>
      </c>
      <c r="E443" s="85" t="str">
        <f aca="false">IF(A443="","",INDEX($O$2:$O$8,L443))</f>
        <v/>
      </c>
      <c r="F443" s="85" t="str">
        <f aca="false">IF(A443="","",IF(ISNUMBER(INDEX(Candidates!$A$1:$Z$500,K443,INDEX($P$2:$P$8,L443))),INDEX(Candidates!$A$1:$Z$500,K443,INDEX($P$2:$P$8,L443)),""))</f>
        <v/>
      </c>
      <c r="G443" s="85" t="str">
        <f aca="false">IF(A443="","",INDEX($Q$2:$Q$8,L443))</f>
        <v/>
      </c>
      <c r="H443" s="85" t="str">
        <f aca="false">IF(A443="","",IF(F443="","Not yet scored",IF(F443&gt;=G443,"Pass","Fail")))</f>
        <v/>
      </c>
      <c r="I443" s="85" t="str">
        <f aca="false">IF(A443="","",INDEX(Candidates!$B$1:$B$500,K443))</f>
        <v/>
      </c>
      <c r="K443" s="86" t="n">
        <f aca="false">INT((ROW()-2)/7)+2</f>
        <v>65</v>
      </c>
      <c r="L443" s="86" t="n">
        <f aca="false">MOD(ROW()-2,7)+1</f>
        <v>1</v>
      </c>
    </row>
    <row r="444" customFormat="false" ht="15" hidden="false" customHeight="false" outlineLevel="0" collapsed="false">
      <c r="A444" s="85" t="str">
        <f aca="false">IF(INDEX(Candidates!$A$1:$A$500,K444)="","",INDEX(Candidates!$A$1:$A$500,K444))</f>
        <v/>
      </c>
      <c r="B444" s="85" t="str">
        <f aca="false">IF(A444="","",INDEX(Candidates!$C$1:$C$500,K444))</f>
        <v/>
      </c>
      <c r="C444" s="85" t="str">
        <f aca="false">IF(A444="","",INDEX(Candidates!$D$1:$D$500,K444))</f>
        <v/>
      </c>
      <c r="D444" s="85" t="str">
        <f aca="false">IF(A444="","",L444)</f>
        <v/>
      </c>
      <c r="E444" s="85" t="str">
        <f aca="false">IF(A444="","",INDEX($O$2:$O$8,L444))</f>
        <v/>
      </c>
      <c r="F444" s="85" t="str">
        <f aca="false">IF(A444="","",IF(ISNUMBER(INDEX(Candidates!$A$1:$Z$500,K444,INDEX($P$2:$P$8,L444))),INDEX(Candidates!$A$1:$Z$500,K444,INDEX($P$2:$P$8,L444)),""))</f>
        <v/>
      </c>
      <c r="G444" s="85" t="str">
        <f aca="false">IF(A444="","",INDEX($Q$2:$Q$8,L444))</f>
        <v/>
      </c>
      <c r="H444" s="85" t="str">
        <f aca="false">IF(A444="","",IF(F444="","Not yet scored",IF(F444&gt;=G444,"Pass","Fail")))</f>
        <v/>
      </c>
      <c r="I444" s="85" t="str">
        <f aca="false">IF(A444="","",INDEX(Candidates!$B$1:$B$500,K444))</f>
        <v/>
      </c>
      <c r="K444" s="86" t="n">
        <f aca="false">INT((ROW()-2)/7)+2</f>
        <v>65</v>
      </c>
      <c r="L444" s="86" t="n">
        <f aca="false">MOD(ROW()-2,7)+1</f>
        <v>2</v>
      </c>
    </row>
    <row r="445" customFormat="false" ht="15" hidden="false" customHeight="false" outlineLevel="0" collapsed="false">
      <c r="A445" s="85" t="str">
        <f aca="false">IF(INDEX(Candidates!$A$1:$A$500,K445)="","",INDEX(Candidates!$A$1:$A$500,K445))</f>
        <v/>
      </c>
      <c r="B445" s="85" t="str">
        <f aca="false">IF(A445="","",INDEX(Candidates!$C$1:$C$500,K445))</f>
        <v/>
      </c>
      <c r="C445" s="85" t="str">
        <f aca="false">IF(A445="","",INDEX(Candidates!$D$1:$D$500,K445))</f>
        <v/>
      </c>
      <c r="D445" s="85" t="str">
        <f aca="false">IF(A445="","",L445)</f>
        <v/>
      </c>
      <c r="E445" s="85" t="str">
        <f aca="false">IF(A445="","",INDEX($O$2:$O$8,L445))</f>
        <v/>
      </c>
      <c r="F445" s="85" t="str">
        <f aca="false">IF(A445="","",IF(ISNUMBER(INDEX(Candidates!$A$1:$Z$500,K445,INDEX($P$2:$P$8,L445))),INDEX(Candidates!$A$1:$Z$500,K445,INDEX($P$2:$P$8,L445)),""))</f>
        <v/>
      </c>
      <c r="G445" s="85" t="str">
        <f aca="false">IF(A445="","",INDEX($Q$2:$Q$8,L445))</f>
        <v/>
      </c>
      <c r="H445" s="85" t="str">
        <f aca="false">IF(A445="","",IF(F445="","Not yet scored",IF(F445&gt;=G445,"Pass","Fail")))</f>
        <v/>
      </c>
      <c r="I445" s="85" t="str">
        <f aca="false">IF(A445="","",INDEX(Candidates!$B$1:$B$500,K445))</f>
        <v/>
      </c>
      <c r="K445" s="86" t="n">
        <f aca="false">INT((ROW()-2)/7)+2</f>
        <v>65</v>
      </c>
      <c r="L445" s="86" t="n">
        <f aca="false">MOD(ROW()-2,7)+1</f>
        <v>3</v>
      </c>
    </row>
    <row r="446" customFormat="false" ht="15" hidden="false" customHeight="false" outlineLevel="0" collapsed="false">
      <c r="A446" s="85" t="str">
        <f aca="false">IF(INDEX(Candidates!$A$1:$A$500,K446)="","",INDEX(Candidates!$A$1:$A$500,K446))</f>
        <v/>
      </c>
      <c r="B446" s="85" t="str">
        <f aca="false">IF(A446="","",INDEX(Candidates!$C$1:$C$500,K446))</f>
        <v/>
      </c>
      <c r="C446" s="85" t="str">
        <f aca="false">IF(A446="","",INDEX(Candidates!$D$1:$D$500,K446))</f>
        <v/>
      </c>
      <c r="D446" s="85" t="str">
        <f aca="false">IF(A446="","",L446)</f>
        <v/>
      </c>
      <c r="E446" s="85" t="str">
        <f aca="false">IF(A446="","",INDEX($O$2:$O$8,L446))</f>
        <v/>
      </c>
      <c r="F446" s="85" t="str">
        <f aca="false">IF(A446="","",IF(ISNUMBER(INDEX(Candidates!$A$1:$Z$500,K446,INDEX($P$2:$P$8,L446))),INDEX(Candidates!$A$1:$Z$500,K446,INDEX($P$2:$P$8,L446)),""))</f>
        <v/>
      </c>
      <c r="G446" s="85" t="str">
        <f aca="false">IF(A446="","",INDEX($Q$2:$Q$8,L446))</f>
        <v/>
      </c>
      <c r="H446" s="85" t="str">
        <f aca="false">IF(A446="","",IF(F446="","Not yet scored",IF(F446&gt;=G446,"Pass","Fail")))</f>
        <v/>
      </c>
      <c r="I446" s="85" t="str">
        <f aca="false">IF(A446="","",INDEX(Candidates!$B$1:$B$500,K446))</f>
        <v/>
      </c>
      <c r="K446" s="86" t="n">
        <f aca="false">INT((ROW()-2)/7)+2</f>
        <v>65</v>
      </c>
      <c r="L446" s="86" t="n">
        <f aca="false">MOD(ROW()-2,7)+1</f>
        <v>4</v>
      </c>
    </row>
    <row r="447" customFormat="false" ht="15" hidden="false" customHeight="false" outlineLevel="0" collapsed="false">
      <c r="A447" s="85" t="str">
        <f aca="false">IF(INDEX(Candidates!$A$1:$A$500,K447)="","",INDEX(Candidates!$A$1:$A$500,K447))</f>
        <v/>
      </c>
      <c r="B447" s="85" t="str">
        <f aca="false">IF(A447="","",INDEX(Candidates!$C$1:$C$500,K447))</f>
        <v/>
      </c>
      <c r="C447" s="85" t="str">
        <f aca="false">IF(A447="","",INDEX(Candidates!$D$1:$D$500,K447))</f>
        <v/>
      </c>
      <c r="D447" s="85" t="str">
        <f aca="false">IF(A447="","",L447)</f>
        <v/>
      </c>
      <c r="E447" s="85" t="str">
        <f aca="false">IF(A447="","",INDEX($O$2:$O$8,L447))</f>
        <v/>
      </c>
      <c r="F447" s="85" t="str">
        <f aca="false">IF(A447="","",IF(ISNUMBER(INDEX(Candidates!$A$1:$Z$500,K447,INDEX($P$2:$P$8,L447))),INDEX(Candidates!$A$1:$Z$500,K447,INDEX($P$2:$P$8,L447)),""))</f>
        <v/>
      </c>
      <c r="G447" s="85" t="str">
        <f aca="false">IF(A447="","",INDEX($Q$2:$Q$8,L447))</f>
        <v/>
      </c>
      <c r="H447" s="85" t="str">
        <f aca="false">IF(A447="","",IF(F447="","Not yet scored",IF(F447&gt;=G447,"Pass","Fail")))</f>
        <v/>
      </c>
      <c r="I447" s="85" t="str">
        <f aca="false">IF(A447="","",INDEX(Candidates!$B$1:$B$500,K447))</f>
        <v/>
      </c>
      <c r="K447" s="86" t="n">
        <f aca="false">INT((ROW()-2)/7)+2</f>
        <v>65</v>
      </c>
      <c r="L447" s="86" t="n">
        <f aca="false">MOD(ROW()-2,7)+1</f>
        <v>5</v>
      </c>
    </row>
    <row r="448" customFormat="false" ht="15" hidden="false" customHeight="false" outlineLevel="0" collapsed="false">
      <c r="A448" s="85" t="str">
        <f aca="false">IF(INDEX(Candidates!$A$1:$A$500,K448)="","",INDEX(Candidates!$A$1:$A$500,K448))</f>
        <v/>
      </c>
      <c r="B448" s="85" t="str">
        <f aca="false">IF(A448="","",INDEX(Candidates!$C$1:$C$500,K448))</f>
        <v/>
      </c>
      <c r="C448" s="85" t="str">
        <f aca="false">IF(A448="","",INDEX(Candidates!$D$1:$D$500,K448))</f>
        <v/>
      </c>
      <c r="D448" s="85" t="str">
        <f aca="false">IF(A448="","",L448)</f>
        <v/>
      </c>
      <c r="E448" s="85" t="str">
        <f aca="false">IF(A448="","",INDEX($O$2:$O$8,L448))</f>
        <v/>
      </c>
      <c r="F448" s="85" t="str">
        <f aca="false">IF(A448="","",IF(ISNUMBER(INDEX(Candidates!$A$1:$Z$500,K448,INDEX($P$2:$P$8,L448))),INDEX(Candidates!$A$1:$Z$500,K448,INDEX($P$2:$P$8,L448)),""))</f>
        <v/>
      </c>
      <c r="G448" s="85" t="str">
        <f aca="false">IF(A448="","",INDEX($Q$2:$Q$8,L448))</f>
        <v/>
      </c>
      <c r="H448" s="85" t="str">
        <f aca="false">IF(A448="","",IF(F448="","Not yet scored",IF(F448&gt;=G448,"Pass","Fail")))</f>
        <v/>
      </c>
      <c r="I448" s="85" t="str">
        <f aca="false">IF(A448="","",INDEX(Candidates!$B$1:$B$500,K448))</f>
        <v/>
      </c>
      <c r="K448" s="86" t="n">
        <f aca="false">INT((ROW()-2)/7)+2</f>
        <v>65</v>
      </c>
      <c r="L448" s="86" t="n">
        <f aca="false">MOD(ROW()-2,7)+1</f>
        <v>6</v>
      </c>
    </row>
    <row r="449" customFormat="false" ht="15" hidden="false" customHeight="false" outlineLevel="0" collapsed="false">
      <c r="A449" s="85" t="str">
        <f aca="false">IF(INDEX(Candidates!$A$1:$A$500,K449)="","",INDEX(Candidates!$A$1:$A$500,K449))</f>
        <v/>
      </c>
      <c r="B449" s="85" t="str">
        <f aca="false">IF(A449="","",INDEX(Candidates!$C$1:$C$500,K449))</f>
        <v/>
      </c>
      <c r="C449" s="85" t="str">
        <f aca="false">IF(A449="","",INDEX(Candidates!$D$1:$D$500,K449))</f>
        <v/>
      </c>
      <c r="D449" s="85" t="str">
        <f aca="false">IF(A449="","",L449)</f>
        <v/>
      </c>
      <c r="E449" s="85" t="str">
        <f aca="false">IF(A449="","",INDEX($O$2:$O$8,L449))</f>
        <v/>
      </c>
      <c r="F449" s="85" t="str">
        <f aca="false">IF(A449="","",IF(ISNUMBER(INDEX(Candidates!$A$1:$Z$500,K449,INDEX($P$2:$P$8,L449))),INDEX(Candidates!$A$1:$Z$500,K449,INDEX($P$2:$P$8,L449)),""))</f>
        <v/>
      </c>
      <c r="G449" s="85" t="str">
        <f aca="false">IF(A449="","",INDEX($Q$2:$Q$8,L449))</f>
        <v/>
      </c>
      <c r="H449" s="85" t="str">
        <f aca="false">IF(A449="","",IF(F449="","Not yet scored",IF(F449&gt;=G449,"Pass","Fail")))</f>
        <v/>
      </c>
      <c r="I449" s="85" t="str">
        <f aca="false">IF(A449="","",INDEX(Candidates!$B$1:$B$500,K449))</f>
        <v/>
      </c>
      <c r="K449" s="86" t="n">
        <f aca="false">INT((ROW()-2)/7)+2</f>
        <v>65</v>
      </c>
      <c r="L449" s="86" t="n">
        <f aca="false">MOD(ROW()-2,7)+1</f>
        <v>7</v>
      </c>
    </row>
    <row r="450" customFormat="false" ht="15" hidden="false" customHeight="false" outlineLevel="0" collapsed="false">
      <c r="A450" s="85" t="str">
        <f aca="false">IF(INDEX(Candidates!$A$1:$A$500,K450)="","",INDEX(Candidates!$A$1:$A$500,K450))</f>
        <v/>
      </c>
      <c r="B450" s="85" t="str">
        <f aca="false">IF(A450="","",INDEX(Candidates!$C$1:$C$500,K450))</f>
        <v/>
      </c>
      <c r="C450" s="85" t="str">
        <f aca="false">IF(A450="","",INDEX(Candidates!$D$1:$D$500,K450))</f>
        <v/>
      </c>
      <c r="D450" s="85" t="str">
        <f aca="false">IF(A450="","",L450)</f>
        <v/>
      </c>
      <c r="E450" s="85" t="str">
        <f aca="false">IF(A450="","",INDEX($O$2:$O$8,L450))</f>
        <v/>
      </c>
      <c r="F450" s="85" t="str">
        <f aca="false">IF(A450="","",IF(ISNUMBER(INDEX(Candidates!$A$1:$Z$500,K450,INDEX($P$2:$P$8,L450))),INDEX(Candidates!$A$1:$Z$500,K450,INDEX($P$2:$P$8,L450)),""))</f>
        <v/>
      </c>
      <c r="G450" s="85" t="str">
        <f aca="false">IF(A450="","",INDEX($Q$2:$Q$8,L450))</f>
        <v/>
      </c>
      <c r="H450" s="85" t="str">
        <f aca="false">IF(A450="","",IF(F450="","Not yet scored",IF(F450&gt;=G450,"Pass","Fail")))</f>
        <v/>
      </c>
      <c r="I450" s="85" t="str">
        <f aca="false">IF(A450="","",INDEX(Candidates!$B$1:$B$500,K450))</f>
        <v/>
      </c>
      <c r="K450" s="86" t="n">
        <f aca="false">INT((ROW()-2)/7)+2</f>
        <v>66</v>
      </c>
      <c r="L450" s="86" t="n">
        <f aca="false">MOD(ROW()-2,7)+1</f>
        <v>1</v>
      </c>
    </row>
    <row r="451" customFormat="false" ht="15" hidden="false" customHeight="false" outlineLevel="0" collapsed="false">
      <c r="A451" s="85" t="str">
        <f aca="false">IF(INDEX(Candidates!$A$1:$A$500,K451)="","",INDEX(Candidates!$A$1:$A$500,K451))</f>
        <v/>
      </c>
      <c r="B451" s="85" t="str">
        <f aca="false">IF(A451="","",INDEX(Candidates!$C$1:$C$500,K451))</f>
        <v/>
      </c>
      <c r="C451" s="85" t="str">
        <f aca="false">IF(A451="","",INDEX(Candidates!$D$1:$D$500,K451))</f>
        <v/>
      </c>
      <c r="D451" s="85" t="str">
        <f aca="false">IF(A451="","",L451)</f>
        <v/>
      </c>
      <c r="E451" s="85" t="str">
        <f aca="false">IF(A451="","",INDEX($O$2:$O$8,L451))</f>
        <v/>
      </c>
      <c r="F451" s="85" t="str">
        <f aca="false">IF(A451="","",IF(ISNUMBER(INDEX(Candidates!$A$1:$Z$500,K451,INDEX($P$2:$P$8,L451))),INDEX(Candidates!$A$1:$Z$500,K451,INDEX($P$2:$P$8,L451)),""))</f>
        <v/>
      </c>
      <c r="G451" s="85" t="str">
        <f aca="false">IF(A451="","",INDEX($Q$2:$Q$8,L451))</f>
        <v/>
      </c>
      <c r="H451" s="85" t="str">
        <f aca="false">IF(A451="","",IF(F451="","Not yet scored",IF(F451&gt;=G451,"Pass","Fail")))</f>
        <v/>
      </c>
      <c r="I451" s="85" t="str">
        <f aca="false">IF(A451="","",INDEX(Candidates!$B$1:$B$500,K451))</f>
        <v/>
      </c>
      <c r="K451" s="86" t="n">
        <f aca="false">INT((ROW()-2)/7)+2</f>
        <v>66</v>
      </c>
      <c r="L451" s="86" t="n">
        <f aca="false">MOD(ROW()-2,7)+1</f>
        <v>2</v>
      </c>
    </row>
    <row r="452" customFormat="false" ht="15" hidden="false" customHeight="false" outlineLevel="0" collapsed="false">
      <c r="A452" s="85" t="str">
        <f aca="false">IF(INDEX(Candidates!$A$1:$A$500,K452)="","",INDEX(Candidates!$A$1:$A$500,K452))</f>
        <v/>
      </c>
      <c r="B452" s="85" t="str">
        <f aca="false">IF(A452="","",INDEX(Candidates!$C$1:$C$500,K452))</f>
        <v/>
      </c>
      <c r="C452" s="85" t="str">
        <f aca="false">IF(A452="","",INDEX(Candidates!$D$1:$D$500,K452))</f>
        <v/>
      </c>
      <c r="D452" s="85" t="str">
        <f aca="false">IF(A452="","",L452)</f>
        <v/>
      </c>
      <c r="E452" s="85" t="str">
        <f aca="false">IF(A452="","",INDEX($O$2:$O$8,L452))</f>
        <v/>
      </c>
      <c r="F452" s="85" t="str">
        <f aca="false">IF(A452="","",IF(ISNUMBER(INDEX(Candidates!$A$1:$Z$500,K452,INDEX($P$2:$P$8,L452))),INDEX(Candidates!$A$1:$Z$500,K452,INDEX($P$2:$P$8,L452)),""))</f>
        <v/>
      </c>
      <c r="G452" s="85" t="str">
        <f aca="false">IF(A452="","",INDEX($Q$2:$Q$8,L452))</f>
        <v/>
      </c>
      <c r="H452" s="85" t="str">
        <f aca="false">IF(A452="","",IF(F452="","Not yet scored",IF(F452&gt;=G452,"Pass","Fail")))</f>
        <v/>
      </c>
      <c r="I452" s="85" t="str">
        <f aca="false">IF(A452="","",INDEX(Candidates!$B$1:$B$500,K452))</f>
        <v/>
      </c>
      <c r="K452" s="86" t="n">
        <f aca="false">INT((ROW()-2)/7)+2</f>
        <v>66</v>
      </c>
      <c r="L452" s="86" t="n">
        <f aca="false">MOD(ROW()-2,7)+1</f>
        <v>3</v>
      </c>
    </row>
    <row r="453" customFormat="false" ht="15" hidden="false" customHeight="false" outlineLevel="0" collapsed="false">
      <c r="A453" s="85" t="str">
        <f aca="false">IF(INDEX(Candidates!$A$1:$A$500,K453)="","",INDEX(Candidates!$A$1:$A$500,K453))</f>
        <v/>
      </c>
      <c r="B453" s="85" t="str">
        <f aca="false">IF(A453="","",INDEX(Candidates!$C$1:$C$500,K453))</f>
        <v/>
      </c>
      <c r="C453" s="85" t="str">
        <f aca="false">IF(A453="","",INDEX(Candidates!$D$1:$D$500,K453))</f>
        <v/>
      </c>
      <c r="D453" s="85" t="str">
        <f aca="false">IF(A453="","",L453)</f>
        <v/>
      </c>
      <c r="E453" s="85" t="str">
        <f aca="false">IF(A453="","",INDEX($O$2:$O$8,L453))</f>
        <v/>
      </c>
      <c r="F453" s="85" t="str">
        <f aca="false">IF(A453="","",IF(ISNUMBER(INDEX(Candidates!$A$1:$Z$500,K453,INDEX($P$2:$P$8,L453))),INDEX(Candidates!$A$1:$Z$500,K453,INDEX($P$2:$P$8,L453)),""))</f>
        <v/>
      </c>
      <c r="G453" s="85" t="str">
        <f aca="false">IF(A453="","",INDEX($Q$2:$Q$8,L453))</f>
        <v/>
      </c>
      <c r="H453" s="85" t="str">
        <f aca="false">IF(A453="","",IF(F453="","Not yet scored",IF(F453&gt;=G453,"Pass","Fail")))</f>
        <v/>
      </c>
      <c r="I453" s="85" t="str">
        <f aca="false">IF(A453="","",INDEX(Candidates!$B$1:$B$500,K453))</f>
        <v/>
      </c>
      <c r="K453" s="86" t="n">
        <f aca="false">INT((ROW()-2)/7)+2</f>
        <v>66</v>
      </c>
      <c r="L453" s="86" t="n">
        <f aca="false">MOD(ROW()-2,7)+1</f>
        <v>4</v>
      </c>
    </row>
    <row r="454" customFormat="false" ht="15" hidden="false" customHeight="false" outlineLevel="0" collapsed="false">
      <c r="A454" s="85" t="str">
        <f aca="false">IF(INDEX(Candidates!$A$1:$A$500,K454)="","",INDEX(Candidates!$A$1:$A$500,K454))</f>
        <v/>
      </c>
      <c r="B454" s="85" t="str">
        <f aca="false">IF(A454="","",INDEX(Candidates!$C$1:$C$500,K454))</f>
        <v/>
      </c>
      <c r="C454" s="85" t="str">
        <f aca="false">IF(A454="","",INDEX(Candidates!$D$1:$D$500,K454))</f>
        <v/>
      </c>
      <c r="D454" s="85" t="str">
        <f aca="false">IF(A454="","",L454)</f>
        <v/>
      </c>
      <c r="E454" s="85" t="str">
        <f aca="false">IF(A454="","",INDEX($O$2:$O$8,L454))</f>
        <v/>
      </c>
      <c r="F454" s="85" t="str">
        <f aca="false">IF(A454="","",IF(ISNUMBER(INDEX(Candidates!$A$1:$Z$500,K454,INDEX($P$2:$P$8,L454))),INDEX(Candidates!$A$1:$Z$500,K454,INDEX($P$2:$P$8,L454)),""))</f>
        <v/>
      </c>
      <c r="G454" s="85" t="str">
        <f aca="false">IF(A454="","",INDEX($Q$2:$Q$8,L454))</f>
        <v/>
      </c>
      <c r="H454" s="85" t="str">
        <f aca="false">IF(A454="","",IF(F454="","Not yet scored",IF(F454&gt;=G454,"Pass","Fail")))</f>
        <v/>
      </c>
      <c r="I454" s="85" t="str">
        <f aca="false">IF(A454="","",INDEX(Candidates!$B$1:$B$500,K454))</f>
        <v/>
      </c>
      <c r="K454" s="86" t="n">
        <f aca="false">INT((ROW()-2)/7)+2</f>
        <v>66</v>
      </c>
      <c r="L454" s="86" t="n">
        <f aca="false">MOD(ROW()-2,7)+1</f>
        <v>5</v>
      </c>
    </row>
    <row r="455" customFormat="false" ht="15" hidden="false" customHeight="false" outlineLevel="0" collapsed="false">
      <c r="A455" s="85" t="str">
        <f aca="false">IF(INDEX(Candidates!$A$1:$A$500,K455)="","",INDEX(Candidates!$A$1:$A$500,K455))</f>
        <v/>
      </c>
      <c r="B455" s="85" t="str">
        <f aca="false">IF(A455="","",INDEX(Candidates!$C$1:$C$500,K455))</f>
        <v/>
      </c>
      <c r="C455" s="85" t="str">
        <f aca="false">IF(A455="","",INDEX(Candidates!$D$1:$D$500,K455))</f>
        <v/>
      </c>
      <c r="D455" s="85" t="str">
        <f aca="false">IF(A455="","",L455)</f>
        <v/>
      </c>
      <c r="E455" s="85" t="str">
        <f aca="false">IF(A455="","",INDEX($O$2:$O$8,L455))</f>
        <v/>
      </c>
      <c r="F455" s="85" t="str">
        <f aca="false">IF(A455="","",IF(ISNUMBER(INDEX(Candidates!$A$1:$Z$500,K455,INDEX($P$2:$P$8,L455))),INDEX(Candidates!$A$1:$Z$500,K455,INDEX($P$2:$P$8,L455)),""))</f>
        <v/>
      </c>
      <c r="G455" s="85" t="str">
        <f aca="false">IF(A455="","",INDEX($Q$2:$Q$8,L455))</f>
        <v/>
      </c>
      <c r="H455" s="85" t="str">
        <f aca="false">IF(A455="","",IF(F455="","Not yet scored",IF(F455&gt;=G455,"Pass","Fail")))</f>
        <v/>
      </c>
      <c r="I455" s="85" t="str">
        <f aca="false">IF(A455="","",INDEX(Candidates!$B$1:$B$500,K455))</f>
        <v/>
      </c>
      <c r="K455" s="86" t="n">
        <f aca="false">INT((ROW()-2)/7)+2</f>
        <v>66</v>
      </c>
      <c r="L455" s="86" t="n">
        <f aca="false">MOD(ROW()-2,7)+1</f>
        <v>6</v>
      </c>
    </row>
    <row r="456" customFormat="false" ht="15" hidden="false" customHeight="false" outlineLevel="0" collapsed="false">
      <c r="A456" s="85" t="str">
        <f aca="false">IF(INDEX(Candidates!$A$1:$A$500,K456)="","",INDEX(Candidates!$A$1:$A$500,K456))</f>
        <v/>
      </c>
      <c r="B456" s="85" t="str">
        <f aca="false">IF(A456="","",INDEX(Candidates!$C$1:$C$500,K456))</f>
        <v/>
      </c>
      <c r="C456" s="85" t="str">
        <f aca="false">IF(A456="","",INDEX(Candidates!$D$1:$D$500,K456))</f>
        <v/>
      </c>
      <c r="D456" s="85" t="str">
        <f aca="false">IF(A456="","",L456)</f>
        <v/>
      </c>
      <c r="E456" s="85" t="str">
        <f aca="false">IF(A456="","",INDEX($O$2:$O$8,L456))</f>
        <v/>
      </c>
      <c r="F456" s="85" t="str">
        <f aca="false">IF(A456="","",IF(ISNUMBER(INDEX(Candidates!$A$1:$Z$500,K456,INDEX($P$2:$P$8,L456))),INDEX(Candidates!$A$1:$Z$500,K456,INDEX($P$2:$P$8,L456)),""))</f>
        <v/>
      </c>
      <c r="G456" s="85" t="str">
        <f aca="false">IF(A456="","",INDEX($Q$2:$Q$8,L456))</f>
        <v/>
      </c>
      <c r="H456" s="85" t="str">
        <f aca="false">IF(A456="","",IF(F456="","Not yet scored",IF(F456&gt;=G456,"Pass","Fail")))</f>
        <v/>
      </c>
      <c r="I456" s="85" t="str">
        <f aca="false">IF(A456="","",INDEX(Candidates!$B$1:$B$500,K456))</f>
        <v/>
      </c>
      <c r="K456" s="86" t="n">
        <f aca="false">INT((ROW()-2)/7)+2</f>
        <v>66</v>
      </c>
      <c r="L456" s="86" t="n">
        <f aca="false">MOD(ROW()-2,7)+1</f>
        <v>7</v>
      </c>
    </row>
    <row r="457" customFormat="false" ht="15" hidden="false" customHeight="false" outlineLevel="0" collapsed="false">
      <c r="A457" s="85" t="str">
        <f aca="false">IF(INDEX(Candidates!$A$1:$A$500,K457)="","",INDEX(Candidates!$A$1:$A$500,K457))</f>
        <v/>
      </c>
      <c r="B457" s="85" t="str">
        <f aca="false">IF(A457="","",INDEX(Candidates!$C$1:$C$500,K457))</f>
        <v/>
      </c>
      <c r="C457" s="85" t="str">
        <f aca="false">IF(A457="","",INDEX(Candidates!$D$1:$D$500,K457))</f>
        <v/>
      </c>
      <c r="D457" s="85" t="str">
        <f aca="false">IF(A457="","",L457)</f>
        <v/>
      </c>
      <c r="E457" s="85" t="str">
        <f aca="false">IF(A457="","",INDEX($O$2:$O$8,L457))</f>
        <v/>
      </c>
      <c r="F457" s="85" t="str">
        <f aca="false">IF(A457="","",IF(ISNUMBER(INDEX(Candidates!$A$1:$Z$500,K457,INDEX($P$2:$P$8,L457))),INDEX(Candidates!$A$1:$Z$500,K457,INDEX($P$2:$P$8,L457)),""))</f>
        <v/>
      </c>
      <c r="G457" s="85" t="str">
        <f aca="false">IF(A457="","",INDEX($Q$2:$Q$8,L457))</f>
        <v/>
      </c>
      <c r="H457" s="85" t="str">
        <f aca="false">IF(A457="","",IF(F457="","Not yet scored",IF(F457&gt;=G457,"Pass","Fail")))</f>
        <v/>
      </c>
      <c r="I457" s="85" t="str">
        <f aca="false">IF(A457="","",INDEX(Candidates!$B$1:$B$500,K457))</f>
        <v/>
      </c>
      <c r="K457" s="86" t="n">
        <f aca="false">INT((ROW()-2)/7)+2</f>
        <v>67</v>
      </c>
      <c r="L457" s="86" t="n">
        <f aca="false">MOD(ROW()-2,7)+1</f>
        <v>1</v>
      </c>
    </row>
    <row r="458" customFormat="false" ht="15" hidden="false" customHeight="false" outlineLevel="0" collapsed="false">
      <c r="A458" s="85" t="str">
        <f aca="false">IF(INDEX(Candidates!$A$1:$A$500,K458)="","",INDEX(Candidates!$A$1:$A$500,K458))</f>
        <v/>
      </c>
      <c r="B458" s="85" t="str">
        <f aca="false">IF(A458="","",INDEX(Candidates!$C$1:$C$500,K458))</f>
        <v/>
      </c>
      <c r="C458" s="85" t="str">
        <f aca="false">IF(A458="","",INDEX(Candidates!$D$1:$D$500,K458))</f>
        <v/>
      </c>
      <c r="D458" s="85" t="str">
        <f aca="false">IF(A458="","",L458)</f>
        <v/>
      </c>
      <c r="E458" s="85" t="str">
        <f aca="false">IF(A458="","",INDEX($O$2:$O$8,L458))</f>
        <v/>
      </c>
      <c r="F458" s="85" t="str">
        <f aca="false">IF(A458="","",IF(ISNUMBER(INDEX(Candidates!$A$1:$Z$500,K458,INDEX($P$2:$P$8,L458))),INDEX(Candidates!$A$1:$Z$500,K458,INDEX($P$2:$P$8,L458)),""))</f>
        <v/>
      </c>
      <c r="G458" s="85" t="str">
        <f aca="false">IF(A458="","",INDEX($Q$2:$Q$8,L458))</f>
        <v/>
      </c>
      <c r="H458" s="85" t="str">
        <f aca="false">IF(A458="","",IF(F458="","Not yet scored",IF(F458&gt;=G458,"Pass","Fail")))</f>
        <v/>
      </c>
      <c r="I458" s="85" t="str">
        <f aca="false">IF(A458="","",INDEX(Candidates!$B$1:$B$500,K458))</f>
        <v/>
      </c>
      <c r="K458" s="86" t="n">
        <f aca="false">INT((ROW()-2)/7)+2</f>
        <v>67</v>
      </c>
      <c r="L458" s="86" t="n">
        <f aca="false">MOD(ROW()-2,7)+1</f>
        <v>2</v>
      </c>
    </row>
    <row r="459" customFormat="false" ht="15" hidden="false" customHeight="false" outlineLevel="0" collapsed="false">
      <c r="A459" s="85" t="str">
        <f aca="false">IF(INDEX(Candidates!$A$1:$A$500,K459)="","",INDEX(Candidates!$A$1:$A$500,K459))</f>
        <v/>
      </c>
      <c r="B459" s="85" t="str">
        <f aca="false">IF(A459="","",INDEX(Candidates!$C$1:$C$500,K459))</f>
        <v/>
      </c>
      <c r="C459" s="85" t="str">
        <f aca="false">IF(A459="","",INDEX(Candidates!$D$1:$D$500,K459))</f>
        <v/>
      </c>
      <c r="D459" s="85" t="str">
        <f aca="false">IF(A459="","",L459)</f>
        <v/>
      </c>
      <c r="E459" s="85" t="str">
        <f aca="false">IF(A459="","",INDEX($O$2:$O$8,L459))</f>
        <v/>
      </c>
      <c r="F459" s="85" t="str">
        <f aca="false">IF(A459="","",IF(ISNUMBER(INDEX(Candidates!$A$1:$Z$500,K459,INDEX($P$2:$P$8,L459))),INDEX(Candidates!$A$1:$Z$500,K459,INDEX($P$2:$P$8,L459)),""))</f>
        <v/>
      </c>
      <c r="G459" s="85" t="str">
        <f aca="false">IF(A459="","",INDEX($Q$2:$Q$8,L459))</f>
        <v/>
      </c>
      <c r="H459" s="85" t="str">
        <f aca="false">IF(A459="","",IF(F459="","Not yet scored",IF(F459&gt;=G459,"Pass","Fail")))</f>
        <v/>
      </c>
      <c r="I459" s="85" t="str">
        <f aca="false">IF(A459="","",INDEX(Candidates!$B$1:$B$500,K459))</f>
        <v/>
      </c>
      <c r="K459" s="86" t="n">
        <f aca="false">INT((ROW()-2)/7)+2</f>
        <v>67</v>
      </c>
      <c r="L459" s="86" t="n">
        <f aca="false">MOD(ROW()-2,7)+1</f>
        <v>3</v>
      </c>
    </row>
    <row r="460" customFormat="false" ht="15" hidden="false" customHeight="false" outlineLevel="0" collapsed="false">
      <c r="A460" s="85" t="str">
        <f aca="false">IF(INDEX(Candidates!$A$1:$A$500,K460)="","",INDEX(Candidates!$A$1:$A$500,K460))</f>
        <v/>
      </c>
      <c r="B460" s="85" t="str">
        <f aca="false">IF(A460="","",INDEX(Candidates!$C$1:$C$500,K460))</f>
        <v/>
      </c>
      <c r="C460" s="85" t="str">
        <f aca="false">IF(A460="","",INDEX(Candidates!$D$1:$D$500,K460))</f>
        <v/>
      </c>
      <c r="D460" s="85" t="str">
        <f aca="false">IF(A460="","",L460)</f>
        <v/>
      </c>
      <c r="E460" s="85" t="str">
        <f aca="false">IF(A460="","",INDEX($O$2:$O$8,L460))</f>
        <v/>
      </c>
      <c r="F460" s="85" t="str">
        <f aca="false">IF(A460="","",IF(ISNUMBER(INDEX(Candidates!$A$1:$Z$500,K460,INDEX($P$2:$P$8,L460))),INDEX(Candidates!$A$1:$Z$500,K460,INDEX($P$2:$P$8,L460)),""))</f>
        <v/>
      </c>
      <c r="G460" s="85" t="str">
        <f aca="false">IF(A460="","",INDEX($Q$2:$Q$8,L460))</f>
        <v/>
      </c>
      <c r="H460" s="85" t="str">
        <f aca="false">IF(A460="","",IF(F460="","Not yet scored",IF(F460&gt;=G460,"Pass","Fail")))</f>
        <v/>
      </c>
      <c r="I460" s="85" t="str">
        <f aca="false">IF(A460="","",INDEX(Candidates!$B$1:$B$500,K460))</f>
        <v/>
      </c>
      <c r="K460" s="86" t="n">
        <f aca="false">INT((ROW()-2)/7)+2</f>
        <v>67</v>
      </c>
      <c r="L460" s="86" t="n">
        <f aca="false">MOD(ROW()-2,7)+1</f>
        <v>4</v>
      </c>
    </row>
    <row r="461" customFormat="false" ht="15" hidden="false" customHeight="false" outlineLevel="0" collapsed="false">
      <c r="A461" s="85" t="str">
        <f aca="false">IF(INDEX(Candidates!$A$1:$A$500,K461)="","",INDEX(Candidates!$A$1:$A$500,K461))</f>
        <v/>
      </c>
      <c r="B461" s="85" t="str">
        <f aca="false">IF(A461="","",INDEX(Candidates!$C$1:$C$500,K461))</f>
        <v/>
      </c>
      <c r="C461" s="85" t="str">
        <f aca="false">IF(A461="","",INDEX(Candidates!$D$1:$D$500,K461))</f>
        <v/>
      </c>
      <c r="D461" s="85" t="str">
        <f aca="false">IF(A461="","",L461)</f>
        <v/>
      </c>
      <c r="E461" s="85" t="str">
        <f aca="false">IF(A461="","",INDEX($O$2:$O$8,L461))</f>
        <v/>
      </c>
      <c r="F461" s="85" t="str">
        <f aca="false">IF(A461="","",IF(ISNUMBER(INDEX(Candidates!$A$1:$Z$500,K461,INDEX($P$2:$P$8,L461))),INDEX(Candidates!$A$1:$Z$500,K461,INDEX($P$2:$P$8,L461)),""))</f>
        <v/>
      </c>
      <c r="G461" s="85" t="str">
        <f aca="false">IF(A461="","",INDEX($Q$2:$Q$8,L461))</f>
        <v/>
      </c>
      <c r="H461" s="85" t="str">
        <f aca="false">IF(A461="","",IF(F461="","Not yet scored",IF(F461&gt;=G461,"Pass","Fail")))</f>
        <v/>
      </c>
      <c r="I461" s="85" t="str">
        <f aca="false">IF(A461="","",INDEX(Candidates!$B$1:$B$500,K461))</f>
        <v/>
      </c>
      <c r="K461" s="86" t="n">
        <f aca="false">INT((ROW()-2)/7)+2</f>
        <v>67</v>
      </c>
      <c r="L461" s="86" t="n">
        <f aca="false">MOD(ROW()-2,7)+1</f>
        <v>5</v>
      </c>
    </row>
    <row r="462" customFormat="false" ht="15" hidden="false" customHeight="false" outlineLevel="0" collapsed="false">
      <c r="A462" s="85" t="str">
        <f aca="false">IF(INDEX(Candidates!$A$1:$A$500,K462)="","",INDEX(Candidates!$A$1:$A$500,K462))</f>
        <v/>
      </c>
      <c r="B462" s="85" t="str">
        <f aca="false">IF(A462="","",INDEX(Candidates!$C$1:$C$500,K462))</f>
        <v/>
      </c>
      <c r="C462" s="85" t="str">
        <f aca="false">IF(A462="","",INDEX(Candidates!$D$1:$D$500,K462))</f>
        <v/>
      </c>
      <c r="D462" s="85" t="str">
        <f aca="false">IF(A462="","",L462)</f>
        <v/>
      </c>
      <c r="E462" s="85" t="str">
        <f aca="false">IF(A462="","",INDEX($O$2:$O$8,L462))</f>
        <v/>
      </c>
      <c r="F462" s="85" t="str">
        <f aca="false">IF(A462="","",IF(ISNUMBER(INDEX(Candidates!$A$1:$Z$500,K462,INDEX($P$2:$P$8,L462))),INDEX(Candidates!$A$1:$Z$500,K462,INDEX($P$2:$P$8,L462)),""))</f>
        <v/>
      </c>
      <c r="G462" s="85" t="str">
        <f aca="false">IF(A462="","",INDEX($Q$2:$Q$8,L462))</f>
        <v/>
      </c>
      <c r="H462" s="85" t="str">
        <f aca="false">IF(A462="","",IF(F462="","Not yet scored",IF(F462&gt;=G462,"Pass","Fail")))</f>
        <v/>
      </c>
      <c r="I462" s="85" t="str">
        <f aca="false">IF(A462="","",INDEX(Candidates!$B$1:$B$500,K462))</f>
        <v/>
      </c>
      <c r="K462" s="86" t="n">
        <f aca="false">INT((ROW()-2)/7)+2</f>
        <v>67</v>
      </c>
      <c r="L462" s="86" t="n">
        <f aca="false">MOD(ROW()-2,7)+1</f>
        <v>6</v>
      </c>
    </row>
    <row r="463" customFormat="false" ht="15" hidden="false" customHeight="false" outlineLevel="0" collapsed="false">
      <c r="A463" s="85" t="str">
        <f aca="false">IF(INDEX(Candidates!$A$1:$A$500,K463)="","",INDEX(Candidates!$A$1:$A$500,K463))</f>
        <v/>
      </c>
      <c r="B463" s="85" t="str">
        <f aca="false">IF(A463="","",INDEX(Candidates!$C$1:$C$500,K463))</f>
        <v/>
      </c>
      <c r="C463" s="85" t="str">
        <f aca="false">IF(A463="","",INDEX(Candidates!$D$1:$D$500,K463))</f>
        <v/>
      </c>
      <c r="D463" s="85" t="str">
        <f aca="false">IF(A463="","",L463)</f>
        <v/>
      </c>
      <c r="E463" s="85" t="str">
        <f aca="false">IF(A463="","",INDEX($O$2:$O$8,L463))</f>
        <v/>
      </c>
      <c r="F463" s="85" t="str">
        <f aca="false">IF(A463="","",IF(ISNUMBER(INDEX(Candidates!$A$1:$Z$500,K463,INDEX($P$2:$P$8,L463))),INDEX(Candidates!$A$1:$Z$500,K463,INDEX($P$2:$P$8,L463)),""))</f>
        <v/>
      </c>
      <c r="G463" s="85" t="str">
        <f aca="false">IF(A463="","",INDEX($Q$2:$Q$8,L463))</f>
        <v/>
      </c>
      <c r="H463" s="85" t="str">
        <f aca="false">IF(A463="","",IF(F463="","Not yet scored",IF(F463&gt;=G463,"Pass","Fail")))</f>
        <v/>
      </c>
      <c r="I463" s="85" t="str">
        <f aca="false">IF(A463="","",INDEX(Candidates!$B$1:$B$500,K463))</f>
        <v/>
      </c>
      <c r="K463" s="86" t="n">
        <f aca="false">INT((ROW()-2)/7)+2</f>
        <v>67</v>
      </c>
      <c r="L463" s="86" t="n">
        <f aca="false">MOD(ROW()-2,7)+1</f>
        <v>7</v>
      </c>
    </row>
    <row r="464" customFormat="false" ht="15" hidden="false" customHeight="false" outlineLevel="0" collapsed="false">
      <c r="A464" s="85" t="str">
        <f aca="false">IF(INDEX(Candidates!$A$1:$A$500,K464)="","",INDEX(Candidates!$A$1:$A$500,K464))</f>
        <v/>
      </c>
      <c r="B464" s="85" t="str">
        <f aca="false">IF(A464="","",INDEX(Candidates!$C$1:$C$500,K464))</f>
        <v/>
      </c>
      <c r="C464" s="85" t="str">
        <f aca="false">IF(A464="","",INDEX(Candidates!$D$1:$D$500,K464))</f>
        <v/>
      </c>
      <c r="D464" s="85" t="str">
        <f aca="false">IF(A464="","",L464)</f>
        <v/>
      </c>
      <c r="E464" s="85" t="str">
        <f aca="false">IF(A464="","",INDEX($O$2:$O$8,L464))</f>
        <v/>
      </c>
      <c r="F464" s="85" t="str">
        <f aca="false">IF(A464="","",IF(ISNUMBER(INDEX(Candidates!$A$1:$Z$500,K464,INDEX($P$2:$P$8,L464))),INDEX(Candidates!$A$1:$Z$500,K464,INDEX($P$2:$P$8,L464)),""))</f>
        <v/>
      </c>
      <c r="G464" s="85" t="str">
        <f aca="false">IF(A464="","",INDEX($Q$2:$Q$8,L464))</f>
        <v/>
      </c>
      <c r="H464" s="85" t="str">
        <f aca="false">IF(A464="","",IF(F464="","Not yet scored",IF(F464&gt;=G464,"Pass","Fail")))</f>
        <v/>
      </c>
      <c r="I464" s="85" t="str">
        <f aca="false">IF(A464="","",INDEX(Candidates!$B$1:$B$500,K464))</f>
        <v/>
      </c>
      <c r="K464" s="86" t="n">
        <f aca="false">INT((ROW()-2)/7)+2</f>
        <v>68</v>
      </c>
      <c r="L464" s="86" t="n">
        <f aca="false">MOD(ROW()-2,7)+1</f>
        <v>1</v>
      </c>
    </row>
    <row r="465" customFormat="false" ht="15" hidden="false" customHeight="false" outlineLevel="0" collapsed="false">
      <c r="A465" s="85" t="str">
        <f aca="false">IF(INDEX(Candidates!$A$1:$A$500,K465)="","",INDEX(Candidates!$A$1:$A$500,K465))</f>
        <v/>
      </c>
      <c r="B465" s="85" t="str">
        <f aca="false">IF(A465="","",INDEX(Candidates!$C$1:$C$500,K465))</f>
        <v/>
      </c>
      <c r="C465" s="85" t="str">
        <f aca="false">IF(A465="","",INDEX(Candidates!$D$1:$D$500,K465))</f>
        <v/>
      </c>
      <c r="D465" s="85" t="str">
        <f aca="false">IF(A465="","",L465)</f>
        <v/>
      </c>
      <c r="E465" s="85" t="str">
        <f aca="false">IF(A465="","",INDEX($O$2:$O$8,L465))</f>
        <v/>
      </c>
      <c r="F465" s="85" t="str">
        <f aca="false">IF(A465="","",IF(ISNUMBER(INDEX(Candidates!$A$1:$Z$500,K465,INDEX($P$2:$P$8,L465))),INDEX(Candidates!$A$1:$Z$500,K465,INDEX($P$2:$P$8,L465)),""))</f>
        <v/>
      </c>
      <c r="G465" s="85" t="str">
        <f aca="false">IF(A465="","",INDEX($Q$2:$Q$8,L465))</f>
        <v/>
      </c>
      <c r="H465" s="85" t="str">
        <f aca="false">IF(A465="","",IF(F465="","Not yet scored",IF(F465&gt;=G465,"Pass","Fail")))</f>
        <v/>
      </c>
      <c r="I465" s="85" t="str">
        <f aca="false">IF(A465="","",INDEX(Candidates!$B$1:$B$500,K465))</f>
        <v/>
      </c>
      <c r="K465" s="86" t="n">
        <f aca="false">INT((ROW()-2)/7)+2</f>
        <v>68</v>
      </c>
      <c r="L465" s="86" t="n">
        <f aca="false">MOD(ROW()-2,7)+1</f>
        <v>2</v>
      </c>
    </row>
    <row r="466" customFormat="false" ht="15" hidden="false" customHeight="false" outlineLevel="0" collapsed="false">
      <c r="A466" s="85" t="str">
        <f aca="false">IF(INDEX(Candidates!$A$1:$A$500,K466)="","",INDEX(Candidates!$A$1:$A$500,K466))</f>
        <v/>
      </c>
      <c r="B466" s="85" t="str">
        <f aca="false">IF(A466="","",INDEX(Candidates!$C$1:$C$500,K466))</f>
        <v/>
      </c>
      <c r="C466" s="85" t="str">
        <f aca="false">IF(A466="","",INDEX(Candidates!$D$1:$D$500,K466))</f>
        <v/>
      </c>
      <c r="D466" s="85" t="str">
        <f aca="false">IF(A466="","",L466)</f>
        <v/>
      </c>
      <c r="E466" s="85" t="str">
        <f aca="false">IF(A466="","",INDEX($O$2:$O$8,L466))</f>
        <v/>
      </c>
      <c r="F466" s="85" t="str">
        <f aca="false">IF(A466="","",IF(ISNUMBER(INDEX(Candidates!$A$1:$Z$500,K466,INDEX($P$2:$P$8,L466))),INDEX(Candidates!$A$1:$Z$500,K466,INDEX($P$2:$P$8,L466)),""))</f>
        <v/>
      </c>
      <c r="G466" s="85" t="str">
        <f aca="false">IF(A466="","",INDEX($Q$2:$Q$8,L466))</f>
        <v/>
      </c>
      <c r="H466" s="85" t="str">
        <f aca="false">IF(A466="","",IF(F466="","Not yet scored",IF(F466&gt;=G466,"Pass","Fail")))</f>
        <v/>
      </c>
      <c r="I466" s="85" t="str">
        <f aca="false">IF(A466="","",INDEX(Candidates!$B$1:$B$500,K466))</f>
        <v/>
      </c>
      <c r="K466" s="86" t="n">
        <f aca="false">INT((ROW()-2)/7)+2</f>
        <v>68</v>
      </c>
      <c r="L466" s="86" t="n">
        <f aca="false">MOD(ROW()-2,7)+1</f>
        <v>3</v>
      </c>
    </row>
    <row r="467" customFormat="false" ht="15" hidden="false" customHeight="false" outlineLevel="0" collapsed="false">
      <c r="A467" s="85" t="str">
        <f aca="false">IF(INDEX(Candidates!$A$1:$A$500,K467)="","",INDEX(Candidates!$A$1:$A$500,K467))</f>
        <v/>
      </c>
      <c r="B467" s="85" t="str">
        <f aca="false">IF(A467="","",INDEX(Candidates!$C$1:$C$500,K467))</f>
        <v/>
      </c>
      <c r="C467" s="85" t="str">
        <f aca="false">IF(A467="","",INDEX(Candidates!$D$1:$D$500,K467))</f>
        <v/>
      </c>
      <c r="D467" s="85" t="str">
        <f aca="false">IF(A467="","",L467)</f>
        <v/>
      </c>
      <c r="E467" s="85" t="str">
        <f aca="false">IF(A467="","",INDEX($O$2:$O$8,L467))</f>
        <v/>
      </c>
      <c r="F467" s="85" t="str">
        <f aca="false">IF(A467="","",IF(ISNUMBER(INDEX(Candidates!$A$1:$Z$500,K467,INDEX($P$2:$P$8,L467))),INDEX(Candidates!$A$1:$Z$500,K467,INDEX($P$2:$P$8,L467)),""))</f>
        <v/>
      </c>
      <c r="G467" s="85" t="str">
        <f aca="false">IF(A467="","",INDEX($Q$2:$Q$8,L467))</f>
        <v/>
      </c>
      <c r="H467" s="85" t="str">
        <f aca="false">IF(A467="","",IF(F467="","Not yet scored",IF(F467&gt;=G467,"Pass","Fail")))</f>
        <v/>
      </c>
      <c r="I467" s="85" t="str">
        <f aca="false">IF(A467="","",INDEX(Candidates!$B$1:$B$500,K467))</f>
        <v/>
      </c>
      <c r="K467" s="86" t="n">
        <f aca="false">INT((ROW()-2)/7)+2</f>
        <v>68</v>
      </c>
      <c r="L467" s="86" t="n">
        <f aca="false">MOD(ROW()-2,7)+1</f>
        <v>4</v>
      </c>
    </row>
    <row r="468" customFormat="false" ht="15" hidden="false" customHeight="false" outlineLevel="0" collapsed="false">
      <c r="A468" s="85" t="str">
        <f aca="false">IF(INDEX(Candidates!$A$1:$A$500,K468)="","",INDEX(Candidates!$A$1:$A$500,K468))</f>
        <v/>
      </c>
      <c r="B468" s="85" t="str">
        <f aca="false">IF(A468="","",INDEX(Candidates!$C$1:$C$500,K468))</f>
        <v/>
      </c>
      <c r="C468" s="85" t="str">
        <f aca="false">IF(A468="","",INDEX(Candidates!$D$1:$D$500,K468))</f>
        <v/>
      </c>
      <c r="D468" s="85" t="str">
        <f aca="false">IF(A468="","",L468)</f>
        <v/>
      </c>
      <c r="E468" s="85" t="str">
        <f aca="false">IF(A468="","",INDEX($O$2:$O$8,L468))</f>
        <v/>
      </c>
      <c r="F468" s="85" t="str">
        <f aca="false">IF(A468="","",IF(ISNUMBER(INDEX(Candidates!$A$1:$Z$500,K468,INDEX($P$2:$P$8,L468))),INDEX(Candidates!$A$1:$Z$500,K468,INDEX($P$2:$P$8,L468)),""))</f>
        <v/>
      </c>
      <c r="G468" s="85" t="str">
        <f aca="false">IF(A468="","",INDEX($Q$2:$Q$8,L468))</f>
        <v/>
      </c>
      <c r="H468" s="85" t="str">
        <f aca="false">IF(A468="","",IF(F468="","Not yet scored",IF(F468&gt;=G468,"Pass","Fail")))</f>
        <v/>
      </c>
      <c r="I468" s="85" t="str">
        <f aca="false">IF(A468="","",INDEX(Candidates!$B$1:$B$500,K468))</f>
        <v/>
      </c>
      <c r="K468" s="86" t="n">
        <f aca="false">INT((ROW()-2)/7)+2</f>
        <v>68</v>
      </c>
      <c r="L468" s="86" t="n">
        <f aca="false">MOD(ROW()-2,7)+1</f>
        <v>5</v>
      </c>
    </row>
    <row r="469" customFormat="false" ht="15" hidden="false" customHeight="false" outlineLevel="0" collapsed="false">
      <c r="A469" s="85" t="str">
        <f aca="false">IF(INDEX(Candidates!$A$1:$A$500,K469)="","",INDEX(Candidates!$A$1:$A$500,K469))</f>
        <v/>
      </c>
      <c r="B469" s="85" t="str">
        <f aca="false">IF(A469="","",INDEX(Candidates!$C$1:$C$500,K469))</f>
        <v/>
      </c>
      <c r="C469" s="85" t="str">
        <f aca="false">IF(A469="","",INDEX(Candidates!$D$1:$D$500,K469))</f>
        <v/>
      </c>
      <c r="D469" s="85" t="str">
        <f aca="false">IF(A469="","",L469)</f>
        <v/>
      </c>
      <c r="E469" s="85" t="str">
        <f aca="false">IF(A469="","",INDEX($O$2:$O$8,L469))</f>
        <v/>
      </c>
      <c r="F469" s="85" t="str">
        <f aca="false">IF(A469="","",IF(ISNUMBER(INDEX(Candidates!$A$1:$Z$500,K469,INDEX($P$2:$P$8,L469))),INDEX(Candidates!$A$1:$Z$500,K469,INDEX($P$2:$P$8,L469)),""))</f>
        <v/>
      </c>
      <c r="G469" s="85" t="str">
        <f aca="false">IF(A469="","",INDEX($Q$2:$Q$8,L469))</f>
        <v/>
      </c>
      <c r="H469" s="85" t="str">
        <f aca="false">IF(A469="","",IF(F469="","Not yet scored",IF(F469&gt;=G469,"Pass","Fail")))</f>
        <v/>
      </c>
      <c r="I469" s="85" t="str">
        <f aca="false">IF(A469="","",INDEX(Candidates!$B$1:$B$500,K469))</f>
        <v/>
      </c>
      <c r="K469" s="86" t="n">
        <f aca="false">INT((ROW()-2)/7)+2</f>
        <v>68</v>
      </c>
      <c r="L469" s="86" t="n">
        <f aca="false">MOD(ROW()-2,7)+1</f>
        <v>6</v>
      </c>
    </row>
    <row r="470" customFormat="false" ht="15" hidden="false" customHeight="false" outlineLevel="0" collapsed="false">
      <c r="A470" s="85" t="str">
        <f aca="false">IF(INDEX(Candidates!$A$1:$A$500,K470)="","",INDEX(Candidates!$A$1:$A$500,K470))</f>
        <v/>
      </c>
      <c r="B470" s="85" t="str">
        <f aca="false">IF(A470="","",INDEX(Candidates!$C$1:$C$500,K470))</f>
        <v/>
      </c>
      <c r="C470" s="85" t="str">
        <f aca="false">IF(A470="","",INDEX(Candidates!$D$1:$D$500,K470))</f>
        <v/>
      </c>
      <c r="D470" s="85" t="str">
        <f aca="false">IF(A470="","",L470)</f>
        <v/>
      </c>
      <c r="E470" s="85" t="str">
        <f aca="false">IF(A470="","",INDEX($O$2:$O$8,L470))</f>
        <v/>
      </c>
      <c r="F470" s="85" t="str">
        <f aca="false">IF(A470="","",IF(ISNUMBER(INDEX(Candidates!$A$1:$Z$500,K470,INDEX($P$2:$P$8,L470))),INDEX(Candidates!$A$1:$Z$500,K470,INDEX($P$2:$P$8,L470)),""))</f>
        <v/>
      </c>
      <c r="G470" s="85" t="str">
        <f aca="false">IF(A470="","",INDEX($Q$2:$Q$8,L470))</f>
        <v/>
      </c>
      <c r="H470" s="85" t="str">
        <f aca="false">IF(A470="","",IF(F470="","Not yet scored",IF(F470&gt;=G470,"Pass","Fail")))</f>
        <v/>
      </c>
      <c r="I470" s="85" t="str">
        <f aca="false">IF(A470="","",INDEX(Candidates!$B$1:$B$500,K470))</f>
        <v/>
      </c>
      <c r="K470" s="86" t="n">
        <f aca="false">INT((ROW()-2)/7)+2</f>
        <v>68</v>
      </c>
      <c r="L470" s="86" t="n">
        <f aca="false">MOD(ROW()-2,7)+1</f>
        <v>7</v>
      </c>
    </row>
    <row r="471" customFormat="false" ht="15" hidden="false" customHeight="false" outlineLevel="0" collapsed="false">
      <c r="A471" s="85" t="str">
        <f aca="false">IF(INDEX(Candidates!$A$1:$A$500,K471)="","",INDEX(Candidates!$A$1:$A$500,K471))</f>
        <v/>
      </c>
      <c r="B471" s="85" t="str">
        <f aca="false">IF(A471="","",INDEX(Candidates!$C$1:$C$500,K471))</f>
        <v/>
      </c>
      <c r="C471" s="85" t="str">
        <f aca="false">IF(A471="","",INDEX(Candidates!$D$1:$D$500,K471))</f>
        <v/>
      </c>
      <c r="D471" s="85" t="str">
        <f aca="false">IF(A471="","",L471)</f>
        <v/>
      </c>
      <c r="E471" s="85" t="str">
        <f aca="false">IF(A471="","",INDEX($O$2:$O$8,L471))</f>
        <v/>
      </c>
      <c r="F471" s="85" t="str">
        <f aca="false">IF(A471="","",IF(ISNUMBER(INDEX(Candidates!$A$1:$Z$500,K471,INDEX($P$2:$P$8,L471))),INDEX(Candidates!$A$1:$Z$500,K471,INDEX($P$2:$P$8,L471)),""))</f>
        <v/>
      </c>
      <c r="G471" s="85" t="str">
        <f aca="false">IF(A471="","",INDEX($Q$2:$Q$8,L471))</f>
        <v/>
      </c>
      <c r="H471" s="85" t="str">
        <f aca="false">IF(A471="","",IF(F471="","Not yet scored",IF(F471&gt;=G471,"Pass","Fail")))</f>
        <v/>
      </c>
      <c r="I471" s="85" t="str">
        <f aca="false">IF(A471="","",INDEX(Candidates!$B$1:$B$500,K471))</f>
        <v/>
      </c>
      <c r="K471" s="86" t="n">
        <f aca="false">INT((ROW()-2)/7)+2</f>
        <v>69</v>
      </c>
      <c r="L471" s="86" t="n">
        <f aca="false">MOD(ROW()-2,7)+1</f>
        <v>1</v>
      </c>
    </row>
    <row r="472" customFormat="false" ht="15" hidden="false" customHeight="false" outlineLevel="0" collapsed="false">
      <c r="A472" s="85" t="str">
        <f aca="false">IF(INDEX(Candidates!$A$1:$A$500,K472)="","",INDEX(Candidates!$A$1:$A$500,K472))</f>
        <v/>
      </c>
      <c r="B472" s="85" t="str">
        <f aca="false">IF(A472="","",INDEX(Candidates!$C$1:$C$500,K472))</f>
        <v/>
      </c>
      <c r="C472" s="85" t="str">
        <f aca="false">IF(A472="","",INDEX(Candidates!$D$1:$D$500,K472))</f>
        <v/>
      </c>
      <c r="D472" s="85" t="str">
        <f aca="false">IF(A472="","",L472)</f>
        <v/>
      </c>
      <c r="E472" s="85" t="str">
        <f aca="false">IF(A472="","",INDEX($O$2:$O$8,L472))</f>
        <v/>
      </c>
      <c r="F472" s="85" t="str">
        <f aca="false">IF(A472="","",IF(ISNUMBER(INDEX(Candidates!$A$1:$Z$500,K472,INDEX($P$2:$P$8,L472))),INDEX(Candidates!$A$1:$Z$500,K472,INDEX($P$2:$P$8,L472)),""))</f>
        <v/>
      </c>
      <c r="G472" s="85" t="str">
        <f aca="false">IF(A472="","",INDEX($Q$2:$Q$8,L472))</f>
        <v/>
      </c>
      <c r="H472" s="85" t="str">
        <f aca="false">IF(A472="","",IF(F472="","Not yet scored",IF(F472&gt;=G472,"Pass","Fail")))</f>
        <v/>
      </c>
      <c r="I472" s="85" t="str">
        <f aca="false">IF(A472="","",INDEX(Candidates!$B$1:$B$500,K472))</f>
        <v/>
      </c>
      <c r="K472" s="86" t="n">
        <f aca="false">INT((ROW()-2)/7)+2</f>
        <v>69</v>
      </c>
      <c r="L472" s="86" t="n">
        <f aca="false">MOD(ROW()-2,7)+1</f>
        <v>2</v>
      </c>
    </row>
    <row r="473" customFormat="false" ht="15" hidden="false" customHeight="false" outlineLevel="0" collapsed="false">
      <c r="A473" s="85" t="str">
        <f aca="false">IF(INDEX(Candidates!$A$1:$A$500,K473)="","",INDEX(Candidates!$A$1:$A$500,K473))</f>
        <v/>
      </c>
      <c r="B473" s="85" t="str">
        <f aca="false">IF(A473="","",INDEX(Candidates!$C$1:$C$500,K473))</f>
        <v/>
      </c>
      <c r="C473" s="85" t="str">
        <f aca="false">IF(A473="","",INDEX(Candidates!$D$1:$D$500,K473))</f>
        <v/>
      </c>
      <c r="D473" s="85" t="str">
        <f aca="false">IF(A473="","",L473)</f>
        <v/>
      </c>
      <c r="E473" s="85" t="str">
        <f aca="false">IF(A473="","",INDEX($O$2:$O$8,L473))</f>
        <v/>
      </c>
      <c r="F473" s="85" t="str">
        <f aca="false">IF(A473="","",IF(ISNUMBER(INDEX(Candidates!$A$1:$Z$500,K473,INDEX($P$2:$P$8,L473))),INDEX(Candidates!$A$1:$Z$500,K473,INDEX($P$2:$P$8,L473)),""))</f>
        <v/>
      </c>
      <c r="G473" s="85" t="str">
        <f aca="false">IF(A473="","",INDEX($Q$2:$Q$8,L473))</f>
        <v/>
      </c>
      <c r="H473" s="85" t="str">
        <f aca="false">IF(A473="","",IF(F473="","Not yet scored",IF(F473&gt;=G473,"Pass","Fail")))</f>
        <v/>
      </c>
      <c r="I473" s="85" t="str">
        <f aca="false">IF(A473="","",INDEX(Candidates!$B$1:$B$500,K473))</f>
        <v/>
      </c>
      <c r="K473" s="86" t="n">
        <f aca="false">INT((ROW()-2)/7)+2</f>
        <v>69</v>
      </c>
      <c r="L473" s="86" t="n">
        <f aca="false">MOD(ROW()-2,7)+1</f>
        <v>3</v>
      </c>
    </row>
    <row r="474" customFormat="false" ht="15" hidden="false" customHeight="false" outlineLevel="0" collapsed="false">
      <c r="A474" s="85" t="str">
        <f aca="false">IF(INDEX(Candidates!$A$1:$A$500,K474)="","",INDEX(Candidates!$A$1:$A$500,K474))</f>
        <v/>
      </c>
      <c r="B474" s="85" t="str">
        <f aca="false">IF(A474="","",INDEX(Candidates!$C$1:$C$500,K474))</f>
        <v/>
      </c>
      <c r="C474" s="85" t="str">
        <f aca="false">IF(A474="","",INDEX(Candidates!$D$1:$D$500,K474))</f>
        <v/>
      </c>
      <c r="D474" s="85" t="str">
        <f aca="false">IF(A474="","",L474)</f>
        <v/>
      </c>
      <c r="E474" s="85" t="str">
        <f aca="false">IF(A474="","",INDEX($O$2:$O$8,L474))</f>
        <v/>
      </c>
      <c r="F474" s="85" t="str">
        <f aca="false">IF(A474="","",IF(ISNUMBER(INDEX(Candidates!$A$1:$Z$500,K474,INDEX($P$2:$P$8,L474))),INDEX(Candidates!$A$1:$Z$500,K474,INDEX($P$2:$P$8,L474)),""))</f>
        <v/>
      </c>
      <c r="G474" s="85" t="str">
        <f aca="false">IF(A474="","",INDEX($Q$2:$Q$8,L474))</f>
        <v/>
      </c>
      <c r="H474" s="85" t="str">
        <f aca="false">IF(A474="","",IF(F474="","Not yet scored",IF(F474&gt;=G474,"Pass","Fail")))</f>
        <v/>
      </c>
      <c r="I474" s="85" t="str">
        <f aca="false">IF(A474="","",INDEX(Candidates!$B$1:$B$500,K474))</f>
        <v/>
      </c>
      <c r="K474" s="86" t="n">
        <f aca="false">INT((ROW()-2)/7)+2</f>
        <v>69</v>
      </c>
      <c r="L474" s="86" t="n">
        <f aca="false">MOD(ROW()-2,7)+1</f>
        <v>4</v>
      </c>
    </row>
    <row r="475" customFormat="false" ht="15" hidden="false" customHeight="false" outlineLevel="0" collapsed="false">
      <c r="A475" s="85" t="str">
        <f aca="false">IF(INDEX(Candidates!$A$1:$A$500,K475)="","",INDEX(Candidates!$A$1:$A$500,K475))</f>
        <v/>
      </c>
      <c r="B475" s="85" t="str">
        <f aca="false">IF(A475="","",INDEX(Candidates!$C$1:$C$500,K475))</f>
        <v/>
      </c>
      <c r="C475" s="85" t="str">
        <f aca="false">IF(A475="","",INDEX(Candidates!$D$1:$D$500,K475))</f>
        <v/>
      </c>
      <c r="D475" s="85" t="str">
        <f aca="false">IF(A475="","",L475)</f>
        <v/>
      </c>
      <c r="E475" s="85" t="str">
        <f aca="false">IF(A475="","",INDEX($O$2:$O$8,L475))</f>
        <v/>
      </c>
      <c r="F475" s="85" t="str">
        <f aca="false">IF(A475="","",IF(ISNUMBER(INDEX(Candidates!$A$1:$Z$500,K475,INDEX($P$2:$P$8,L475))),INDEX(Candidates!$A$1:$Z$500,K475,INDEX($P$2:$P$8,L475)),""))</f>
        <v/>
      </c>
      <c r="G475" s="85" t="str">
        <f aca="false">IF(A475="","",INDEX($Q$2:$Q$8,L475))</f>
        <v/>
      </c>
      <c r="H475" s="85" t="str">
        <f aca="false">IF(A475="","",IF(F475="","Not yet scored",IF(F475&gt;=G475,"Pass","Fail")))</f>
        <v/>
      </c>
      <c r="I475" s="85" t="str">
        <f aca="false">IF(A475="","",INDEX(Candidates!$B$1:$B$500,K475))</f>
        <v/>
      </c>
      <c r="K475" s="86" t="n">
        <f aca="false">INT((ROW()-2)/7)+2</f>
        <v>69</v>
      </c>
      <c r="L475" s="86" t="n">
        <f aca="false">MOD(ROW()-2,7)+1</f>
        <v>5</v>
      </c>
    </row>
    <row r="476" customFormat="false" ht="15" hidden="false" customHeight="false" outlineLevel="0" collapsed="false">
      <c r="A476" s="85" t="str">
        <f aca="false">IF(INDEX(Candidates!$A$1:$A$500,K476)="","",INDEX(Candidates!$A$1:$A$500,K476))</f>
        <v/>
      </c>
      <c r="B476" s="85" t="str">
        <f aca="false">IF(A476="","",INDEX(Candidates!$C$1:$C$500,K476))</f>
        <v/>
      </c>
      <c r="C476" s="85" t="str">
        <f aca="false">IF(A476="","",INDEX(Candidates!$D$1:$D$500,K476))</f>
        <v/>
      </c>
      <c r="D476" s="85" t="str">
        <f aca="false">IF(A476="","",L476)</f>
        <v/>
      </c>
      <c r="E476" s="85" t="str">
        <f aca="false">IF(A476="","",INDEX($O$2:$O$8,L476))</f>
        <v/>
      </c>
      <c r="F476" s="85" t="str">
        <f aca="false">IF(A476="","",IF(ISNUMBER(INDEX(Candidates!$A$1:$Z$500,K476,INDEX($P$2:$P$8,L476))),INDEX(Candidates!$A$1:$Z$500,K476,INDEX($P$2:$P$8,L476)),""))</f>
        <v/>
      </c>
      <c r="G476" s="85" t="str">
        <f aca="false">IF(A476="","",INDEX($Q$2:$Q$8,L476))</f>
        <v/>
      </c>
      <c r="H476" s="85" t="str">
        <f aca="false">IF(A476="","",IF(F476="","Not yet scored",IF(F476&gt;=G476,"Pass","Fail")))</f>
        <v/>
      </c>
      <c r="I476" s="85" t="str">
        <f aca="false">IF(A476="","",INDEX(Candidates!$B$1:$B$500,K476))</f>
        <v/>
      </c>
      <c r="K476" s="86" t="n">
        <f aca="false">INT((ROW()-2)/7)+2</f>
        <v>69</v>
      </c>
      <c r="L476" s="86" t="n">
        <f aca="false">MOD(ROW()-2,7)+1</f>
        <v>6</v>
      </c>
    </row>
    <row r="477" customFormat="false" ht="15" hidden="false" customHeight="false" outlineLevel="0" collapsed="false">
      <c r="A477" s="85" t="str">
        <f aca="false">IF(INDEX(Candidates!$A$1:$A$500,K477)="","",INDEX(Candidates!$A$1:$A$500,K477))</f>
        <v/>
      </c>
      <c r="B477" s="85" t="str">
        <f aca="false">IF(A477="","",INDEX(Candidates!$C$1:$C$500,K477))</f>
        <v/>
      </c>
      <c r="C477" s="85" t="str">
        <f aca="false">IF(A477="","",INDEX(Candidates!$D$1:$D$500,K477))</f>
        <v/>
      </c>
      <c r="D477" s="85" t="str">
        <f aca="false">IF(A477="","",L477)</f>
        <v/>
      </c>
      <c r="E477" s="85" t="str">
        <f aca="false">IF(A477="","",INDEX($O$2:$O$8,L477))</f>
        <v/>
      </c>
      <c r="F477" s="85" t="str">
        <f aca="false">IF(A477="","",IF(ISNUMBER(INDEX(Candidates!$A$1:$Z$500,K477,INDEX($P$2:$P$8,L477))),INDEX(Candidates!$A$1:$Z$500,K477,INDEX($P$2:$P$8,L477)),""))</f>
        <v/>
      </c>
      <c r="G477" s="85" t="str">
        <f aca="false">IF(A477="","",INDEX($Q$2:$Q$8,L477))</f>
        <v/>
      </c>
      <c r="H477" s="85" t="str">
        <f aca="false">IF(A477="","",IF(F477="","Not yet scored",IF(F477&gt;=G477,"Pass","Fail")))</f>
        <v/>
      </c>
      <c r="I477" s="85" t="str">
        <f aca="false">IF(A477="","",INDEX(Candidates!$B$1:$B$500,K477))</f>
        <v/>
      </c>
      <c r="K477" s="86" t="n">
        <f aca="false">INT((ROW()-2)/7)+2</f>
        <v>69</v>
      </c>
      <c r="L477" s="86" t="n">
        <f aca="false">MOD(ROW()-2,7)+1</f>
        <v>7</v>
      </c>
    </row>
    <row r="478" customFormat="false" ht="15" hidden="false" customHeight="false" outlineLevel="0" collapsed="false">
      <c r="A478" s="85" t="str">
        <f aca="false">IF(INDEX(Candidates!$A$1:$A$500,K478)="","",INDEX(Candidates!$A$1:$A$500,K478))</f>
        <v/>
      </c>
      <c r="B478" s="85" t="str">
        <f aca="false">IF(A478="","",INDEX(Candidates!$C$1:$C$500,K478))</f>
        <v/>
      </c>
      <c r="C478" s="85" t="str">
        <f aca="false">IF(A478="","",INDEX(Candidates!$D$1:$D$500,K478))</f>
        <v/>
      </c>
      <c r="D478" s="85" t="str">
        <f aca="false">IF(A478="","",L478)</f>
        <v/>
      </c>
      <c r="E478" s="85" t="str">
        <f aca="false">IF(A478="","",INDEX($O$2:$O$8,L478))</f>
        <v/>
      </c>
      <c r="F478" s="85" t="str">
        <f aca="false">IF(A478="","",IF(ISNUMBER(INDEX(Candidates!$A$1:$Z$500,K478,INDEX($P$2:$P$8,L478))),INDEX(Candidates!$A$1:$Z$500,K478,INDEX($P$2:$P$8,L478)),""))</f>
        <v/>
      </c>
      <c r="G478" s="85" t="str">
        <f aca="false">IF(A478="","",INDEX($Q$2:$Q$8,L478))</f>
        <v/>
      </c>
      <c r="H478" s="85" t="str">
        <f aca="false">IF(A478="","",IF(F478="","Not yet scored",IF(F478&gt;=G478,"Pass","Fail")))</f>
        <v/>
      </c>
      <c r="I478" s="85" t="str">
        <f aca="false">IF(A478="","",INDEX(Candidates!$B$1:$B$500,K478))</f>
        <v/>
      </c>
      <c r="K478" s="86" t="n">
        <f aca="false">INT((ROW()-2)/7)+2</f>
        <v>70</v>
      </c>
      <c r="L478" s="86" t="n">
        <f aca="false">MOD(ROW()-2,7)+1</f>
        <v>1</v>
      </c>
    </row>
    <row r="479" customFormat="false" ht="15" hidden="false" customHeight="false" outlineLevel="0" collapsed="false">
      <c r="A479" s="85" t="str">
        <f aca="false">IF(INDEX(Candidates!$A$1:$A$500,K479)="","",INDEX(Candidates!$A$1:$A$500,K479))</f>
        <v/>
      </c>
      <c r="B479" s="85" t="str">
        <f aca="false">IF(A479="","",INDEX(Candidates!$C$1:$C$500,K479))</f>
        <v/>
      </c>
      <c r="C479" s="85" t="str">
        <f aca="false">IF(A479="","",INDEX(Candidates!$D$1:$D$500,K479))</f>
        <v/>
      </c>
      <c r="D479" s="85" t="str">
        <f aca="false">IF(A479="","",L479)</f>
        <v/>
      </c>
      <c r="E479" s="85" t="str">
        <f aca="false">IF(A479="","",INDEX($O$2:$O$8,L479))</f>
        <v/>
      </c>
      <c r="F479" s="85" t="str">
        <f aca="false">IF(A479="","",IF(ISNUMBER(INDEX(Candidates!$A$1:$Z$500,K479,INDEX($P$2:$P$8,L479))),INDEX(Candidates!$A$1:$Z$500,K479,INDEX($P$2:$P$8,L479)),""))</f>
        <v/>
      </c>
      <c r="G479" s="85" t="str">
        <f aca="false">IF(A479="","",INDEX($Q$2:$Q$8,L479))</f>
        <v/>
      </c>
      <c r="H479" s="85" t="str">
        <f aca="false">IF(A479="","",IF(F479="","Not yet scored",IF(F479&gt;=G479,"Pass","Fail")))</f>
        <v/>
      </c>
      <c r="I479" s="85" t="str">
        <f aca="false">IF(A479="","",INDEX(Candidates!$B$1:$B$500,K479))</f>
        <v/>
      </c>
      <c r="K479" s="86" t="n">
        <f aca="false">INT((ROW()-2)/7)+2</f>
        <v>70</v>
      </c>
      <c r="L479" s="86" t="n">
        <f aca="false">MOD(ROW()-2,7)+1</f>
        <v>2</v>
      </c>
    </row>
    <row r="480" customFormat="false" ht="15" hidden="false" customHeight="false" outlineLevel="0" collapsed="false">
      <c r="A480" s="85" t="str">
        <f aca="false">IF(INDEX(Candidates!$A$1:$A$500,K480)="","",INDEX(Candidates!$A$1:$A$500,K480))</f>
        <v/>
      </c>
      <c r="B480" s="85" t="str">
        <f aca="false">IF(A480="","",INDEX(Candidates!$C$1:$C$500,K480))</f>
        <v/>
      </c>
      <c r="C480" s="85" t="str">
        <f aca="false">IF(A480="","",INDEX(Candidates!$D$1:$D$500,K480))</f>
        <v/>
      </c>
      <c r="D480" s="85" t="str">
        <f aca="false">IF(A480="","",L480)</f>
        <v/>
      </c>
      <c r="E480" s="85" t="str">
        <f aca="false">IF(A480="","",INDEX($O$2:$O$8,L480))</f>
        <v/>
      </c>
      <c r="F480" s="85" t="str">
        <f aca="false">IF(A480="","",IF(ISNUMBER(INDEX(Candidates!$A$1:$Z$500,K480,INDEX($P$2:$P$8,L480))),INDEX(Candidates!$A$1:$Z$500,K480,INDEX($P$2:$P$8,L480)),""))</f>
        <v/>
      </c>
      <c r="G480" s="85" t="str">
        <f aca="false">IF(A480="","",INDEX($Q$2:$Q$8,L480))</f>
        <v/>
      </c>
      <c r="H480" s="85" t="str">
        <f aca="false">IF(A480="","",IF(F480="","Not yet scored",IF(F480&gt;=G480,"Pass","Fail")))</f>
        <v/>
      </c>
      <c r="I480" s="85" t="str">
        <f aca="false">IF(A480="","",INDEX(Candidates!$B$1:$B$500,K480))</f>
        <v/>
      </c>
      <c r="K480" s="86" t="n">
        <f aca="false">INT((ROW()-2)/7)+2</f>
        <v>70</v>
      </c>
      <c r="L480" s="86" t="n">
        <f aca="false">MOD(ROW()-2,7)+1</f>
        <v>3</v>
      </c>
    </row>
    <row r="481" customFormat="false" ht="15" hidden="false" customHeight="false" outlineLevel="0" collapsed="false">
      <c r="A481" s="85" t="str">
        <f aca="false">IF(INDEX(Candidates!$A$1:$A$500,K481)="","",INDEX(Candidates!$A$1:$A$500,K481))</f>
        <v/>
      </c>
      <c r="B481" s="85" t="str">
        <f aca="false">IF(A481="","",INDEX(Candidates!$C$1:$C$500,K481))</f>
        <v/>
      </c>
      <c r="C481" s="85" t="str">
        <f aca="false">IF(A481="","",INDEX(Candidates!$D$1:$D$500,K481))</f>
        <v/>
      </c>
      <c r="D481" s="85" t="str">
        <f aca="false">IF(A481="","",L481)</f>
        <v/>
      </c>
      <c r="E481" s="85" t="str">
        <f aca="false">IF(A481="","",INDEX($O$2:$O$8,L481))</f>
        <v/>
      </c>
      <c r="F481" s="85" t="str">
        <f aca="false">IF(A481="","",IF(ISNUMBER(INDEX(Candidates!$A$1:$Z$500,K481,INDEX($P$2:$P$8,L481))),INDEX(Candidates!$A$1:$Z$500,K481,INDEX($P$2:$P$8,L481)),""))</f>
        <v/>
      </c>
      <c r="G481" s="85" t="str">
        <f aca="false">IF(A481="","",INDEX($Q$2:$Q$8,L481))</f>
        <v/>
      </c>
      <c r="H481" s="85" t="str">
        <f aca="false">IF(A481="","",IF(F481="","Not yet scored",IF(F481&gt;=G481,"Pass","Fail")))</f>
        <v/>
      </c>
      <c r="I481" s="85" t="str">
        <f aca="false">IF(A481="","",INDEX(Candidates!$B$1:$B$500,K481))</f>
        <v/>
      </c>
      <c r="K481" s="86" t="n">
        <f aca="false">INT((ROW()-2)/7)+2</f>
        <v>70</v>
      </c>
      <c r="L481" s="86" t="n">
        <f aca="false">MOD(ROW()-2,7)+1</f>
        <v>4</v>
      </c>
    </row>
    <row r="482" customFormat="false" ht="15" hidden="false" customHeight="false" outlineLevel="0" collapsed="false">
      <c r="A482" s="85" t="str">
        <f aca="false">IF(INDEX(Candidates!$A$1:$A$500,K482)="","",INDEX(Candidates!$A$1:$A$500,K482))</f>
        <v/>
      </c>
      <c r="B482" s="85" t="str">
        <f aca="false">IF(A482="","",INDEX(Candidates!$C$1:$C$500,K482))</f>
        <v/>
      </c>
      <c r="C482" s="85" t="str">
        <f aca="false">IF(A482="","",INDEX(Candidates!$D$1:$D$500,K482))</f>
        <v/>
      </c>
      <c r="D482" s="85" t="str">
        <f aca="false">IF(A482="","",L482)</f>
        <v/>
      </c>
      <c r="E482" s="85" t="str">
        <f aca="false">IF(A482="","",INDEX($O$2:$O$8,L482))</f>
        <v/>
      </c>
      <c r="F482" s="85" t="str">
        <f aca="false">IF(A482="","",IF(ISNUMBER(INDEX(Candidates!$A$1:$Z$500,K482,INDEX($P$2:$P$8,L482))),INDEX(Candidates!$A$1:$Z$500,K482,INDEX($P$2:$P$8,L482)),""))</f>
        <v/>
      </c>
      <c r="G482" s="85" t="str">
        <f aca="false">IF(A482="","",INDEX($Q$2:$Q$8,L482))</f>
        <v/>
      </c>
      <c r="H482" s="85" t="str">
        <f aca="false">IF(A482="","",IF(F482="","Not yet scored",IF(F482&gt;=G482,"Pass","Fail")))</f>
        <v/>
      </c>
      <c r="I482" s="85" t="str">
        <f aca="false">IF(A482="","",INDEX(Candidates!$B$1:$B$500,K482))</f>
        <v/>
      </c>
      <c r="K482" s="86" t="n">
        <f aca="false">INT((ROW()-2)/7)+2</f>
        <v>70</v>
      </c>
      <c r="L482" s="86" t="n">
        <f aca="false">MOD(ROW()-2,7)+1</f>
        <v>5</v>
      </c>
    </row>
    <row r="483" customFormat="false" ht="15" hidden="false" customHeight="false" outlineLevel="0" collapsed="false">
      <c r="A483" s="85" t="str">
        <f aca="false">IF(INDEX(Candidates!$A$1:$A$500,K483)="","",INDEX(Candidates!$A$1:$A$500,K483))</f>
        <v/>
      </c>
      <c r="B483" s="85" t="str">
        <f aca="false">IF(A483="","",INDEX(Candidates!$C$1:$C$500,K483))</f>
        <v/>
      </c>
      <c r="C483" s="85" t="str">
        <f aca="false">IF(A483="","",INDEX(Candidates!$D$1:$D$500,K483))</f>
        <v/>
      </c>
      <c r="D483" s="85" t="str">
        <f aca="false">IF(A483="","",L483)</f>
        <v/>
      </c>
      <c r="E483" s="85" t="str">
        <f aca="false">IF(A483="","",INDEX($O$2:$O$8,L483))</f>
        <v/>
      </c>
      <c r="F483" s="85" t="str">
        <f aca="false">IF(A483="","",IF(ISNUMBER(INDEX(Candidates!$A$1:$Z$500,K483,INDEX($P$2:$P$8,L483))),INDEX(Candidates!$A$1:$Z$500,K483,INDEX($P$2:$P$8,L483)),""))</f>
        <v/>
      </c>
      <c r="G483" s="85" t="str">
        <f aca="false">IF(A483="","",INDEX($Q$2:$Q$8,L483))</f>
        <v/>
      </c>
      <c r="H483" s="85" t="str">
        <f aca="false">IF(A483="","",IF(F483="","Not yet scored",IF(F483&gt;=G483,"Pass","Fail")))</f>
        <v/>
      </c>
      <c r="I483" s="85" t="str">
        <f aca="false">IF(A483="","",INDEX(Candidates!$B$1:$B$500,K483))</f>
        <v/>
      </c>
      <c r="K483" s="86" t="n">
        <f aca="false">INT((ROW()-2)/7)+2</f>
        <v>70</v>
      </c>
      <c r="L483" s="86" t="n">
        <f aca="false">MOD(ROW()-2,7)+1</f>
        <v>6</v>
      </c>
    </row>
    <row r="484" customFormat="false" ht="15" hidden="false" customHeight="false" outlineLevel="0" collapsed="false">
      <c r="A484" s="85" t="str">
        <f aca="false">IF(INDEX(Candidates!$A$1:$A$500,K484)="","",INDEX(Candidates!$A$1:$A$500,K484))</f>
        <v/>
      </c>
      <c r="B484" s="85" t="str">
        <f aca="false">IF(A484="","",INDEX(Candidates!$C$1:$C$500,K484))</f>
        <v/>
      </c>
      <c r="C484" s="85" t="str">
        <f aca="false">IF(A484="","",INDEX(Candidates!$D$1:$D$500,K484))</f>
        <v/>
      </c>
      <c r="D484" s="85" t="str">
        <f aca="false">IF(A484="","",L484)</f>
        <v/>
      </c>
      <c r="E484" s="85" t="str">
        <f aca="false">IF(A484="","",INDEX($O$2:$O$8,L484))</f>
        <v/>
      </c>
      <c r="F484" s="85" t="str">
        <f aca="false">IF(A484="","",IF(ISNUMBER(INDEX(Candidates!$A$1:$Z$500,K484,INDEX($P$2:$P$8,L484))),INDEX(Candidates!$A$1:$Z$500,K484,INDEX($P$2:$P$8,L484)),""))</f>
        <v/>
      </c>
      <c r="G484" s="85" t="str">
        <f aca="false">IF(A484="","",INDEX($Q$2:$Q$8,L484))</f>
        <v/>
      </c>
      <c r="H484" s="85" t="str">
        <f aca="false">IF(A484="","",IF(F484="","Not yet scored",IF(F484&gt;=G484,"Pass","Fail")))</f>
        <v/>
      </c>
      <c r="I484" s="85" t="str">
        <f aca="false">IF(A484="","",INDEX(Candidates!$B$1:$B$500,K484))</f>
        <v/>
      </c>
      <c r="K484" s="86" t="n">
        <f aca="false">INT((ROW()-2)/7)+2</f>
        <v>70</v>
      </c>
      <c r="L484" s="86" t="n">
        <f aca="false">MOD(ROW()-2,7)+1</f>
        <v>7</v>
      </c>
    </row>
    <row r="485" customFormat="false" ht="15" hidden="false" customHeight="false" outlineLevel="0" collapsed="false">
      <c r="A485" s="85" t="str">
        <f aca="false">IF(INDEX(Candidates!$A$1:$A$500,K485)="","",INDEX(Candidates!$A$1:$A$500,K485))</f>
        <v/>
      </c>
      <c r="B485" s="85" t="str">
        <f aca="false">IF(A485="","",INDEX(Candidates!$C$1:$C$500,K485))</f>
        <v/>
      </c>
      <c r="C485" s="85" t="str">
        <f aca="false">IF(A485="","",INDEX(Candidates!$D$1:$D$500,K485))</f>
        <v/>
      </c>
      <c r="D485" s="85" t="str">
        <f aca="false">IF(A485="","",L485)</f>
        <v/>
      </c>
      <c r="E485" s="85" t="str">
        <f aca="false">IF(A485="","",INDEX($O$2:$O$8,L485))</f>
        <v/>
      </c>
      <c r="F485" s="85" t="str">
        <f aca="false">IF(A485="","",IF(ISNUMBER(INDEX(Candidates!$A$1:$Z$500,K485,INDEX($P$2:$P$8,L485))),INDEX(Candidates!$A$1:$Z$500,K485,INDEX($P$2:$P$8,L485)),""))</f>
        <v/>
      </c>
      <c r="G485" s="85" t="str">
        <f aca="false">IF(A485="","",INDEX($Q$2:$Q$8,L485))</f>
        <v/>
      </c>
      <c r="H485" s="85" t="str">
        <f aca="false">IF(A485="","",IF(F485="","Not yet scored",IF(F485&gt;=G485,"Pass","Fail")))</f>
        <v/>
      </c>
      <c r="I485" s="85" t="str">
        <f aca="false">IF(A485="","",INDEX(Candidates!$B$1:$B$500,K485))</f>
        <v/>
      </c>
      <c r="K485" s="86" t="n">
        <f aca="false">INT((ROW()-2)/7)+2</f>
        <v>71</v>
      </c>
      <c r="L485" s="86" t="n">
        <f aca="false">MOD(ROW()-2,7)+1</f>
        <v>1</v>
      </c>
    </row>
    <row r="486" customFormat="false" ht="15" hidden="false" customHeight="false" outlineLevel="0" collapsed="false">
      <c r="A486" s="85" t="str">
        <f aca="false">IF(INDEX(Candidates!$A$1:$A$500,K486)="","",INDEX(Candidates!$A$1:$A$500,K486))</f>
        <v/>
      </c>
      <c r="B486" s="85" t="str">
        <f aca="false">IF(A486="","",INDEX(Candidates!$C$1:$C$500,K486))</f>
        <v/>
      </c>
      <c r="C486" s="85" t="str">
        <f aca="false">IF(A486="","",INDEX(Candidates!$D$1:$D$500,K486))</f>
        <v/>
      </c>
      <c r="D486" s="85" t="str">
        <f aca="false">IF(A486="","",L486)</f>
        <v/>
      </c>
      <c r="E486" s="85" t="str">
        <f aca="false">IF(A486="","",INDEX($O$2:$O$8,L486))</f>
        <v/>
      </c>
      <c r="F486" s="85" t="str">
        <f aca="false">IF(A486="","",IF(ISNUMBER(INDEX(Candidates!$A$1:$Z$500,K486,INDEX($P$2:$P$8,L486))),INDEX(Candidates!$A$1:$Z$500,K486,INDEX($P$2:$P$8,L486)),""))</f>
        <v/>
      </c>
      <c r="G486" s="85" t="str">
        <f aca="false">IF(A486="","",INDEX($Q$2:$Q$8,L486))</f>
        <v/>
      </c>
      <c r="H486" s="85" t="str">
        <f aca="false">IF(A486="","",IF(F486="","Not yet scored",IF(F486&gt;=G486,"Pass","Fail")))</f>
        <v/>
      </c>
      <c r="I486" s="85" t="str">
        <f aca="false">IF(A486="","",INDEX(Candidates!$B$1:$B$500,K486))</f>
        <v/>
      </c>
      <c r="K486" s="86" t="n">
        <f aca="false">INT((ROW()-2)/7)+2</f>
        <v>71</v>
      </c>
      <c r="L486" s="86" t="n">
        <f aca="false">MOD(ROW()-2,7)+1</f>
        <v>2</v>
      </c>
    </row>
    <row r="487" customFormat="false" ht="15" hidden="false" customHeight="false" outlineLevel="0" collapsed="false">
      <c r="A487" s="85" t="str">
        <f aca="false">IF(INDEX(Candidates!$A$1:$A$500,K487)="","",INDEX(Candidates!$A$1:$A$500,K487))</f>
        <v/>
      </c>
      <c r="B487" s="85" t="str">
        <f aca="false">IF(A487="","",INDEX(Candidates!$C$1:$C$500,K487))</f>
        <v/>
      </c>
      <c r="C487" s="85" t="str">
        <f aca="false">IF(A487="","",INDEX(Candidates!$D$1:$D$500,K487))</f>
        <v/>
      </c>
      <c r="D487" s="85" t="str">
        <f aca="false">IF(A487="","",L487)</f>
        <v/>
      </c>
      <c r="E487" s="85" t="str">
        <f aca="false">IF(A487="","",INDEX($O$2:$O$8,L487))</f>
        <v/>
      </c>
      <c r="F487" s="85" t="str">
        <f aca="false">IF(A487="","",IF(ISNUMBER(INDEX(Candidates!$A$1:$Z$500,K487,INDEX($P$2:$P$8,L487))),INDEX(Candidates!$A$1:$Z$500,K487,INDEX($P$2:$P$8,L487)),""))</f>
        <v/>
      </c>
      <c r="G487" s="85" t="str">
        <f aca="false">IF(A487="","",INDEX($Q$2:$Q$8,L487))</f>
        <v/>
      </c>
      <c r="H487" s="85" t="str">
        <f aca="false">IF(A487="","",IF(F487="","Not yet scored",IF(F487&gt;=G487,"Pass","Fail")))</f>
        <v/>
      </c>
      <c r="I487" s="85" t="str">
        <f aca="false">IF(A487="","",INDEX(Candidates!$B$1:$B$500,K487))</f>
        <v/>
      </c>
      <c r="K487" s="86" t="n">
        <f aca="false">INT((ROW()-2)/7)+2</f>
        <v>71</v>
      </c>
      <c r="L487" s="86" t="n">
        <f aca="false">MOD(ROW()-2,7)+1</f>
        <v>3</v>
      </c>
    </row>
    <row r="488" customFormat="false" ht="15" hidden="false" customHeight="false" outlineLevel="0" collapsed="false">
      <c r="A488" s="85" t="str">
        <f aca="false">IF(INDEX(Candidates!$A$1:$A$500,K488)="","",INDEX(Candidates!$A$1:$A$500,K488))</f>
        <v/>
      </c>
      <c r="B488" s="85" t="str">
        <f aca="false">IF(A488="","",INDEX(Candidates!$C$1:$C$500,K488))</f>
        <v/>
      </c>
      <c r="C488" s="85" t="str">
        <f aca="false">IF(A488="","",INDEX(Candidates!$D$1:$D$500,K488))</f>
        <v/>
      </c>
      <c r="D488" s="85" t="str">
        <f aca="false">IF(A488="","",L488)</f>
        <v/>
      </c>
      <c r="E488" s="85" t="str">
        <f aca="false">IF(A488="","",INDEX($O$2:$O$8,L488))</f>
        <v/>
      </c>
      <c r="F488" s="85" t="str">
        <f aca="false">IF(A488="","",IF(ISNUMBER(INDEX(Candidates!$A$1:$Z$500,K488,INDEX($P$2:$P$8,L488))),INDEX(Candidates!$A$1:$Z$500,K488,INDEX($P$2:$P$8,L488)),""))</f>
        <v/>
      </c>
      <c r="G488" s="85" t="str">
        <f aca="false">IF(A488="","",INDEX($Q$2:$Q$8,L488))</f>
        <v/>
      </c>
      <c r="H488" s="85" t="str">
        <f aca="false">IF(A488="","",IF(F488="","Not yet scored",IF(F488&gt;=G488,"Pass","Fail")))</f>
        <v/>
      </c>
      <c r="I488" s="85" t="str">
        <f aca="false">IF(A488="","",INDEX(Candidates!$B$1:$B$500,K488))</f>
        <v/>
      </c>
      <c r="K488" s="86" t="n">
        <f aca="false">INT((ROW()-2)/7)+2</f>
        <v>71</v>
      </c>
      <c r="L488" s="86" t="n">
        <f aca="false">MOD(ROW()-2,7)+1</f>
        <v>4</v>
      </c>
    </row>
    <row r="489" customFormat="false" ht="15" hidden="false" customHeight="false" outlineLevel="0" collapsed="false">
      <c r="A489" s="85" t="str">
        <f aca="false">IF(INDEX(Candidates!$A$1:$A$500,K489)="","",INDEX(Candidates!$A$1:$A$500,K489))</f>
        <v/>
      </c>
      <c r="B489" s="85" t="str">
        <f aca="false">IF(A489="","",INDEX(Candidates!$C$1:$C$500,K489))</f>
        <v/>
      </c>
      <c r="C489" s="85" t="str">
        <f aca="false">IF(A489="","",INDEX(Candidates!$D$1:$D$500,K489))</f>
        <v/>
      </c>
      <c r="D489" s="85" t="str">
        <f aca="false">IF(A489="","",L489)</f>
        <v/>
      </c>
      <c r="E489" s="85" t="str">
        <f aca="false">IF(A489="","",INDEX($O$2:$O$8,L489))</f>
        <v/>
      </c>
      <c r="F489" s="85" t="str">
        <f aca="false">IF(A489="","",IF(ISNUMBER(INDEX(Candidates!$A$1:$Z$500,K489,INDEX($P$2:$P$8,L489))),INDEX(Candidates!$A$1:$Z$500,K489,INDEX($P$2:$P$8,L489)),""))</f>
        <v/>
      </c>
      <c r="G489" s="85" t="str">
        <f aca="false">IF(A489="","",INDEX($Q$2:$Q$8,L489))</f>
        <v/>
      </c>
      <c r="H489" s="85" t="str">
        <f aca="false">IF(A489="","",IF(F489="","Not yet scored",IF(F489&gt;=G489,"Pass","Fail")))</f>
        <v/>
      </c>
      <c r="I489" s="85" t="str">
        <f aca="false">IF(A489="","",INDEX(Candidates!$B$1:$B$500,K489))</f>
        <v/>
      </c>
      <c r="K489" s="86" t="n">
        <f aca="false">INT((ROW()-2)/7)+2</f>
        <v>71</v>
      </c>
      <c r="L489" s="86" t="n">
        <f aca="false">MOD(ROW()-2,7)+1</f>
        <v>5</v>
      </c>
    </row>
    <row r="490" customFormat="false" ht="15" hidden="false" customHeight="false" outlineLevel="0" collapsed="false">
      <c r="A490" s="85" t="str">
        <f aca="false">IF(INDEX(Candidates!$A$1:$A$500,K490)="","",INDEX(Candidates!$A$1:$A$500,K490))</f>
        <v/>
      </c>
      <c r="B490" s="85" t="str">
        <f aca="false">IF(A490="","",INDEX(Candidates!$C$1:$C$500,K490))</f>
        <v/>
      </c>
      <c r="C490" s="85" t="str">
        <f aca="false">IF(A490="","",INDEX(Candidates!$D$1:$D$500,K490))</f>
        <v/>
      </c>
      <c r="D490" s="85" t="str">
        <f aca="false">IF(A490="","",L490)</f>
        <v/>
      </c>
      <c r="E490" s="85" t="str">
        <f aca="false">IF(A490="","",INDEX($O$2:$O$8,L490))</f>
        <v/>
      </c>
      <c r="F490" s="85" t="str">
        <f aca="false">IF(A490="","",IF(ISNUMBER(INDEX(Candidates!$A$1:$Z$500,K490,INDEX($P$2:$P$8,L490))),INDEX(Candidates!$A$1:$Z$500,K490,INDEX($P$2:$P$8,L490)),""))</f>
        <v/>
      </c>
      <c r="G490" s="85" t="str">
        <f aca="false">IF(A490="","",INDEX($Q$2:$Q$8,L490))</f>
        <v/>
      </c>
      <c r="H490" s="85" t="str">
        <f aca="false">IF(A490="","",IF(F490="","Not yet scored",IF(F490&gt;=G490,"Pass","Fail")))</f>
        <v/>
      </c>
      <c r="I490" s="85" t="str">
        <f aca="false">IF(A490="","",INDEX(Candidates!$B$1:$B$500,K490))</f>
        <v/>
      </c>
      <c r="K490" s="86" t="n">
        <f aca="false">INT((ROW()-2)/7)+2</f>
        <v>71</v>
      </c>
      <c r="L490" s="86" t="n">
        <f aca="false">MOD(ROW()-2,7)+1</f>
        <v>6</v>
      </c>
    </row>
    <row r="491" customFormat="false" ht="15" hidden="false" customHeight="false" outlineLevel="0" collapsed="false">
      <c r="A491" s="85" t="str">
        <f aca="false">IF(INDEX(Candidates!$A$1:$A$500,K491)="","",INDEX(Candidates!$A$1:$A$500,K491))</f>
        <v/>
      </c>
      <c r="B491" s="85" t="str">
        <f aca="false">IF(A491="","",INDEX(Candidates!$C$1:$C$500,K491))</f>
        <v/>
      </c>
      <c r="C491" s="85" t="str">
        <f aca="false">IF(A491="","",INDEX(Candidates!$D$1:$D$500,K491))</f>
        <v/>
      </c>
      <c r="D491" s="85" t="str">
        <f aca="false">IF(A491="","",L491)</f>
        <v/>
      </c>
      <c r="E491" s="85" t="str">
        <f aca="false">IF(A491="","",INDEX($O$2:$O$8,L491))</f>
        <v/>
      </c>
      <c r="F491" s="85" t="str">
        <f aca="false">IF(A491="","",IF(ISNUMBER(INDEX(Candidates!$A$1:$Z$500,K491,INDEX($P$2:$P$8,L491))),INDEX(Candidates!$A$1:$Z$500,K491,INDEX($P$2:$P$8,L491)),""))</f>
        <v/>
      </c>
      <c r="G491" s="85" t="str">
        <f aca="false">IF(A491="","",INDEX($Q$2:$Q$8,L491))</f>
        <v/>
      </c>
      <c r="H491" s="85" t="str">
        <f aca="false">IF(A491="","",IF(F491="","Not yet scored",IF(F491&gt;=G491,"Pass","Fail")))</f>
        <v/>
      </c>
      <c r="I491" s="85" t="str">
        <f aca="false">IF(A491="","",INDEX(Candidates!$B$1:$B$500,K491))</f>
        <v/>
      </c>
      <c r="K491" s="86" t="n">
        <f aca="false">INT((ROW()-2)/7)+2</f>
        <v>71</v>
      </c>
      <c r="L491" s="86" t="n">
        <f aca="false">MOD(ROW()-2,7)+1</f>
        <v>7</v>
      </c>
    </row>
    <row r="492" customFormat="false" ht="15" hidden="false" customHeight="false" outlineLevel="0" collapsed="false">
      <c r="A492" s="85" t="str">
        <f aca="false">IF(INDEX(Candidates!$A$1:$A$500,K492)="","",INDEX(Candidates!$A$1:$A$500,K492))</f>
        <v/>
      </c>
      <c r="B492" s="85" t="str">
        <f aca="false">IF(A492="","",INDEX(Candidates!$C$1:$C$500,K492))</f>
        <v/>
      </c>
      <c r="C492" s="85" t="str">
        <f aca="false">IF(A492="","",INDEX(Candidates!$D$1:$D$500,K492))</f>
        <v/>
      </c>
      <c r="D492" s="85" t="str">
        <f aca="false">IF(A492="","",L492)</f>
        <v/>
      </c>
      <c r="E492" s="85" t="str">
        <f aca="false">IF(A492="","",INDEX($O$2:$O$8,L492))</f>
        <v/>
      </c>
      <c r="F492" s="85" t="str">
        <f aca="false">IF(A492="","",IF(ISNUMBER(INDEX(Candidates!$A$1:$Z$500,K492,INDEX($P$2:$P$8,L492))),INDEX(Candidates!$A$1:$Z$500,K492,INDEX($P$2:$P$8,L492)),""))</f>
        <v/>
      </c>
      <c r="G492" s="85" t="str">
        <f aca="false">IF(A492="","",INDEX($Q$2:$Q$8,L492))</f>
        <v/>
      </c>
      <c r="H492" s="85" t="str">
        <f aca="false">IF(A492="","",IF(F492="","Not yet scored",IF(F492&gt;=G492,"Pass","Fail")))</f>
        <v/>
      </c>
      <c r="I492" s="85" t="str">
        <f aca="false">IF(A492="","",INDEX(Candidates!$B$1:$B$500,K492))</f>
        <v/>
      </c>
      <c r="K492" s="86" t="n">
        <f aca="false">INT((ROW()-2)/7)+2</f>
        <v>72</v>
      </c>
      <c r="L492" s="86" t="n">
        <f aca="false">MOD(ROW()-2,7)+1</f>
        <v>1</v>
      </c>
    </row>
    <row r="493" customFormat="false" ht="15" hidden="false" customHeight="false" outlineLevel="0" collapsed="false">
      <c r="A493" s="85" t="str">
        <f aca="false">IF(INDEX(Candidates!$A$1:$A$500,K493)="","",INDEX(Candidates!$A$1:$A$500,K493))</f>
        <v/>
      </c>
      <c r="B493" s="85" t="str">
        <f aca="false">IF(A493="","",INDEX(Candidates!$C$1:$C$500,K493))</f>
        <v/>
      </c>
      <c r="C493" s="85" t="str">
        <f aca="false">IF(A493="","",INDEX(Candidates!$D$1:$D$500,K493))</f>
        <v/>
      </c>
      <c r="D493" s="85" t="str">
        <f aca="false">IF(A493="","",L493)</f>
        <v/>
      </c>
      <c r="E493" s="85" t="str">
        <f aca="false">IF(A493="","",INDEX($O$2:$O$8,L493))</f>
        <v/>
      </c>
      <c r="F493" s="85" t="str">
        <f aca="false">IF(A493="","",IF(ISNUMBER(INDEX(Candidates!$A$1:$Z$500,K493,INDEX($P$2:$P$8,L493))),INDEX(Candidates!$A$1:$Z$500,K493,INDEX($P$2:$P$8,L493)),""))</f>
        <v/>
      </c>
      <c r="G493" s="85" t="str">
        <f aca="false">IF(A493="","",INDEX($Q$2:$Q$8,L493))</f>
        <v/>
      </c>
      <c r="H493" s="85" t="str">
        <f aca="false">IF(A493="","",IF(F493="","Not yet scored",IF(F493&gt;=G493,"Pass","Fail")))</f>
        <v/>
      </c>
      <c r="I493" s="85" t="str">
        <f aca="false">IF(A493="","",INDEX(Candidates!$B$1:$B$500,K493))</f>
        <v/>
      </c>
      <c r="K493" s="86" t="n">
        <f aca="false">INT((ROW()-2)/7)+2</f>
        <v>72</v>
      </c>
      <c r="L493" s="86" t="n">
        <f aca="false">MOD(ROW()-2,7)+1</f>
        <v>2</v>
      </c>
    </row>
    <row r="494" customFormat="false" ht="15" hidden="false" customHeight="false" outlineLevel="0" collapsed="false">
      <c r="A494" s="85" t="str">
        <f aca="false">IF(INDEX(Candidates!$A$1:$A$500,K494)="","",INDEX(Candidates!$A$1:$A$500,K494))</f>
        <v/>
      </c>
      <c r="B494" s="85" t="str">
        <f aca="false">IF(A494="","",INDEX(Candidates!$C$1:$C$500,K494))</f>
        <v/>
      </c>
      <c r="C494" s="85" t="str">
        <f aca="false">IF(A494="","",INDEX(Candidates!$D$1:$D$500,K494))</f>
        <v/>
      </c>
      <c r="D494" s="85" t="str">
        <f aca="false">IF(A494="","",L494)</f>
        <v/>
      </c>
      <c r="E494" s="85" t="str">
        <f aca="false">IF(A494="","",INDEX($O$2:$O$8,L494))</f>
        <v/>
      </c>
      <c r="F494" s="85" t="str">
        <f aca="false">IF(A494="","",IF(ISNUMBER(INDEX(Candidates!$A$1:$Z$500,K494,INDEX($P$2:$P$8,L494))),INDEX(Candidates!$A$1:$Z$500,K494,INDEX($P$2:$P$8,L494)),""))</f>
        <v/>
      </c>
      <c r="G494" s="85" t="str">
        <f aca="false">IF(A494="","",INDEX($Q$2:$Q$8,L494))</f>
        <v/>
      </c>
      <c r="H494" s="85" t="str">
        <f aca="false">IF(A494="","",IF(F494="","Not yet scored",IF(F494&gt;=G494,"Pass","Fail")))</f>
        <v/>
      </c>
      <c r="I494" s="85" t="str">
        <f aca="false">IF(A494="","",INDEX(Candidates!$B$1:$B$500,K494))</f>
        <v/>
      </c>
      <c r="K494" s="86" t="n">
        <f aca="false">INT((ROW()-2)/7)+2</f>
        <v>72</v>
      </c>
      <c r="L494" s="86" t="n">
        <f aca="false">MOD(ROW()-2,7)+1</f>
        <v>3</v>
      </c>
    </row>
    <row r="495" customFormat="false" ht="15" hidden="false" customHeight="false" outlineLevel="0" collapsed="false">
      <c r="A495" s="85" t="str">
        <f aca="false">IF(INDEX(Candidates!$A$1:$A$500,K495)="","",INDEX(Candidates!$A$1:$A$500,K495))</f>
        <v/>
      </c>
      <c r="B495" s="85" t="str">
        <f aca="false">IF(A495="","",INDEX(Candidates!$C$1:$C$500,K495))</f>
        <v/>
      </c>
      <c r="C495" s="85" t="str">
        <f aca="false">IF(A495="","",INDEX(Candidates!$D$1:$D$500,K495))</f>
        <v/>
      </c>
      <c r="D495" s="85" t="str">
        <f aca="false">IF(A495="","",L495)</f>
        <v/>
      </c>
      <c r="E495" s="85" t="str">
        <f aca="false">IF(A495="","",INDEX($O$2:$O$8,L495))</f>
        <v/>
      </c>
      <c r="F495" s="85" t="str">
        <f aca="false">IF(A495="","",IF(ISNUMBER(INDEX(Candidates!$A$1:$Z$500,K495,INDEX($P$2:$P$8,L495))),INDEX(Candidates!$A$1:$Z$500,K495,INDEX($P$2:$P$8,L495)),""))</f>
        <v/>
      </c>
      <c r="G495" s="85" t="str">
        <f aca="false">IF(A495="","",INDEX($Q$2:$Q$8,L495))</f>
        <v/>
      </c>
      <c r="H495" s="85" t="str">
        <f aca="false">IF(A495="","",IF(F495="","Not yet scored",IF(F495&gt;=G495,"Pass","Fail")))</f>
        <v/>
      </c>
      <c r="I495" s="85" t="str">
        <f aca="false">IF(A495="","",INDEX(Candidates!$B$1:$B$500,K495))</f>
        <v/>
      </c>
      <c r="K495" s="86" t="n">
        <f aca="false">INT((ROW()-2)/7)+2</f>
        <v>72</v>
      </c>
      <c r="L495" s="86" t="n">
        <f aca="false">MOD(ROW()-2,7)+1</f>
        <v>4</v>
      </c>
    </row>
    <row r="496" customFormat="false" ht="15" hidden="false" customHeight="false" outlineLevel="0" collapsed="false">
      <c r="A496" s="85" t="str">
        <f aca="false">IF(INDEX(Candidates!$A$1:$A$500,K496)="","",INDEX(Candidates!$A$1:$A$500,K496))</f>
        <v/>
      </c>
      <c r="B496" s="85" t="str">
        <f aca="false">IF(A496="","",INDEX(Candidates!$C$1:$C$500,K496))</f>
        <v/>
      </c>
      <c r="C496" s="85" t="str">
        <f aca="false">IF(A496="","",INDEX(Candidates!$D$1:$D$500,K496))</f>
        <v/>
      </c>
      <c r="D496" s="85" t="str">
        <f aca="false">IF(A496="","",L496)</f>
        <v/>
      </c>
      <c r="E496" s="85" t="str">
        <f aca="false">IF(A496="","",INDEX($O$2:$O$8,L496))</f>
        <v/>
      </c>
      <c r="F496" s="85" t="str">
        <f aca="false">IF(A496="","",IF(ISNUMBER(INDEX(Candidates!$A$1:$Z$500,K496,INDEX($P$2:$P$8,L496))),INDEX(Candidates!$A$1:$Z$500,K496,INDEX($P$2:$P$8,L496)),""))</f>
        <v/>
      </c>
      <c r="G496" s="85" t="str">
        <f aca="false">IF(A496="","",INDEX($Q$2:$Q$8,L496))</f>
        <v/>
      </c>
      <c r="H496" s="85" t="str">
        <f aca="false">IF(A496="","",IF(F496="","Not yet scored",IF(F496&gt;=G496,"Pass","Fail")))</f>
        <v/>
      </c>
      <c r="I496" s="85" t="str">
        <f aca="false">IF(A496="","",INDEX(Candidates!$B$1:$B$500,K496))</f>
        <v/>
      </c>
      <c r="K496" s="86" t="n">
        <f aca="false">INT((ROW()-2)/7)+2</f>
        <v>72</v>
      </c>
      <c r="L496" s="86" t="n">
        <f aca="false">MOD(ROW()-2,7)+1</f>
        <v>5</v>
      </c>
    </row>
    <row r="497" customFormat="false" ht="15" hidden="false" customHeight="false" outlineLevel="0" collapsed="false">
      <c r="A497" s="85" t="str">
        <f aca="false">IF(INDEX(Candidates!$A$1:$A$500,K497)="","",INDEX(Candidates!$A$1:$A$500,K497))</f>
        <v/>
      </c>
      <c r="B497" s="85" t="str">
        <f aca="false">IF(A497="","",INDEX(Candidates!$C$1:$C$500,K497))</f>
        <v/>
      </c>
      <c r="C497" s="85" t="str">
        <f aca="false">IF(A497="","",INDEX(Candidates!$D$1:$D$500,K497))</f>
        <v/>
      </c>
      <c r="D497" s="85" t="str">
        <f aca="false">IF(A497="","",L497)</f>
        <v/>
      </c>
      <c r="E497" s="85" t="str">
        <f aca="false">IF(A497="","",INDEX($O$2:$O$8,L497))</f>
        <v/>
      </c>
      <c r="F497" s="85" t="str">
        <f aca="false">IF(A497="","",IF(ISNUMBER(INDEX(Candidates!$A$1:$Z$500,K497,INDEX($P$2:$P$8,L497))),INDEX(Candidates!$A$1:$Z$500,K497,INDEX($P$2:$P$8,L497)),""))</f>
        <v/>
      </c>
      <c r="G497" s="85" t="str">
        <f aca="false">IF(A497="","",INDEX($Q$2:$Q$8,L497))</f>
        <v/>
      </c>
      <c r="H497" s="85" t="str">
        <f aca="false">IF(A497="","",IF(F497="","Not yet scored",IF(F497&gt;=G497,"Pass","Fail")))</f>
        <v/>
      </c>
      <c r="I497" s="85" t="str">
        <f aca="false">IF(A497="","",INDEX(Candidates!$B$1:$B$500,K497))</f>
        <v/>
      </c>
      <c r="K497" s="86" t="n">
        <f aca="false">INT((ROW()-2)/7)+2</f>
        <v>72</v>
      </c>
      <c r="L497" s="86" t="n">
        <f aca="false">MOD(ROW()-2,7)+1</f>
        <v>6</v>
      </c>
    </row>
    <row r="498" customFormat="false" ht="15" hidden="false" customHeight="false" outlineLevel="0" collapsed="false">
      <c r="A498" s="85" t="str">
        <f aca="false">IF(INDEX(Candidates!$A$1:$A$500,K498)="","",INDEX(Candidates!$A$1:$A$500,K498))</f>
        <v/>
      </c>
      <c r="B498" s="85" t="str">
        <f aca="false">IF(A498="","",INDEX(Candidates!$C$1:$C$500,K498))</f>
        <v/>
      </c>
      <c r="C498" s="85" t="str">
        <f aca="false">IF(A498="","",INDEX(Candidates!$D$1:$D$500,K498))</f>
        <v/>
      </c>
      <c r="D498" s="85" t="str">
        <f aca="false">IF(A498="","",L498)</f>
        <v/>
      </c>
      <c r="E498" s="85" t="str">
        <f aca="false">IF(A498="","",INDEX($O$2:$O$8,L498))</f>
        <v/>
      </c>
      <c r="F498" s="85" t="str">
        <f aca="false">IF(A498="","",IF(ISNUMBER(INDEX(Candidates!$A$1:$Z$500,K498,INDEX($P$2:$P$8,L498))),INDEX(Candidates!$A$1:$Z$500,K498,INDEX($P$2:$P$8,L498)),""))</f>
        <v/>
      </c>
      <c r="G498" s="85" t="str">
        <f aca="false">IF(A498="","",INDEX($Q$2:$Q$8,L498))</f>
        <v/>
      </c>
      <c r="H498" s="85" t="str">
        <f aca="false">IF(A498="","",IF(F498="","Not yet scored",IF(F498&gt;=G498,"Pass","Fail")))</f>
        <v/>
      </c>
      <c r="I498" s="85" t="str">
        <f aca="false">IF(A498="","",INDEX(Candidates!$B$1:$B$500,K498))</f>
        <v/>
      </c>
      <c r="K498" s="86" t="n">
        <f aca="false">INT((ROW()-2)/7)+2</f>
        <v>72</v>
      </c>
      <c r="L498" s="86" t="n">
        <f aca="false">MOD(ROW()-2,7)+1</f>
        <v>7</v>
      </c>
    </row>
    <row r="499" customFormat="false" ht="15" hidden="false" customHeight="false" outlineLevel="0" collapsed="false">
      <c r="A499" s="85" t="str">
        <f aca="false">IF(INDEX(Candidates!$A$1:$A$500,K499)="","",INDEX(Candidates!$A$1:$A$500,K499))</f>
        <v/>
      </c>
      <c r="B499" s="85" t="str">
        <f aca="false">IF(A499="","",INDEX(Candidates!$C$1:$C$500,K499))</f>
        <v/>
      </c>
      <c r="C499" s="85" t="str">
        <f aca="false">IF(A499="","",INDEX(Candidates!$D$1:$D$500,K499))</f>
        <v/>
      </c>
      <c r="D499" s="85" t="str">
        <f aca="false">IF(A499="","",L499)</f>
        <v/>
      </c>
      <c r="E499" s="85" t="str">
        <f aca="false">IF(A499="","",INDEX($O$2:$O$8,L499))</f>
        <v/>
      </c>
      <c r="F499" s="85" t="str">
        <f aca="false">IF(A499="","",IF(ISNUMBER(INDEX(Candidates!$A$1:$Z$500,K499,INDEX($P$2:$P$8,L499))),INDEX(Candidates!$A$1:$Z$500,K499,INDEX($P$2:$P$8,L499)),""))</f>
        <v/>
      </c>
      <c r="G499" s="85" t="str">
        <f aca="false">IF(A499="","",INDEX($Q$2:$Q$8,L499))</f>
        <v/>
      </c>
      <c r="H499" s="85" t="str">
        <f aca="false">IF(A499="","",IF(F499="","Not yet scored",IF(F499&gt;=G499,"Pass","Fail")))</f>
        <v/>
      </c>
      <c r="I499" s="85" t="str">
        <f aca="false">IF(A499="","",INDEX(Candidates!$B$1:$B$500,K499))</f>
        <v/>
      </c>
      <c r="K499" s="86" t="n">
        <f aca="false">INT((ROW()-2)/7)+2</f>
        <v>73</v>
      </c>
      <c r="L499" s="86" t="n">
        <f aca="false">MOD(ROW()-2,7)+1</f>
        <v>1</v>
      </c>
    </row>
    <row r="500" customFormat="false" ht="15" hidden="false" customHeight="false" outlineLevel="0" collapsed="false">
      <c r="A500" s="85" t="str">
        <f aca="false">IF(INDEX(Candidates!$A$1:$A$500,K500)="","",INDEX(Candidates!$A$1:$A$500,K500))</f>
        <v/>
      </c>
      <c r="B500" s="85" t="str">
        <f aca="false">IF(A500="","",INDEX(Candidates!$C$1:$C$500,K500))</f>
        <v/>
      </c>
      <c r="C500" s="85" t="str">
        <f aca="false">IF(A500="","",INDEX(Candidates!$D$1:$D$500,K500))</f>
        <v/>
      </c>
      <c r="D500" s="85" t="str">
        <f aca="false">IF(A500="","",L500)</f>
        <v/>
      </c>
      <c r="E500" s="85" t="str">
        <f aca="false">IF(A500="","",INDEX($O$2:$O$8,L500))</f>
        <v/>
      </c>
      <c r="F500" s="85" t="str">
        <f aca="false">IF(A500="","",IF(ISNUMBER(INDEX(Candidates!$A$1:$Z$500,K500,INDEX($P$2:$P$8,L500))),INDEX(Candidates!$A$1:$Z$500,K500,INDEX($P$2:$P$8,L500)),""))</f>
        <v/>
      </c>
      <c r="G500" s="85" t="str">
        <f aca="false">IF(A500="","",INDEX($Q$2:$Q$8,L500))</f>
        <v/>
      </c>
      <c r="H500" s="85" t="str">
        <f aca="false">IF(A500="","",IF(F500="","Not yet scored",IF(F500&gt;=G500,"Pass","Fail")))</f>
        <v/>
      </c>
      <c r="I500" s="85" t="str">
        <f aca="false">IF(A500="","",INDEX(Candidates!$B$1:$B$500,K500))</f>
        <v/>
      </c>
      <c r="K500" s="86" t="n">
        <f aca="false">INT((ROW()-2)/7)+2</f>
        <v>73</v>
      </c>
      <c r="L500" s="86" t="n">
        <f aca="false">MOD(ROW()-2,7)+1</f>
        <v>2</v>
      </c>
    </row>
    <row r="501" customFormat="false" ht="15" hidden="false" customHeight="false" outlineLevel="0" collapsed="false">
      <c r="A501" s="85" t="str">
        <f aca="false">IF(INDEX(Candidates!$A$1:$A$500,K501)="","",INDEX(Candidates!$A$1:$A$500,K501))</f>
        <v/>
      </c>
      <c r="B501" s="85" t="str">
        <f aca="false">IF(A501="","",INDEX(Candidates!$C$1:$C$500,K501))</f>
        <v/>
      </c>
      <c r="C501" s="85" t="str">
        <f aca="false">IF(A501="","",INDEX(Candidates!$D$1:$D$500,K501))</f>
        <v/>
      </c>
      <c r="D501" s="85" t="str">
        <f aca="false">IF(A501="","",L501)</f>
        <v/>
      </c>
      <c r="E501" s="85" t="str">
        <f aca="false">IF(A501="","",INDEX($O$2:$O$8,L501))</f>
        <v/>
      </c>
      <c r="F501" s="85" t="str">
        <f aca="false">IF(A501="","",IF(ISNUMBER(INDEX(Candidates!$A$1:$Z$500,K501,INDEX($P$2:$P$8,L501))),INDEX(Candidates!$A$1:$Z$500,K501,INDEX($P$2:$P$8,L501)),""))</f>
        <v/>
      </c>
      <c r="G501" s="85" t="str">
        <f aca="false">IF(A501="","",INDEX($Q$2:$Q$8,L501))</f>
        <v/>
      </c>
      <c r="H501" s="85" t="str">
        <f aca="false">IF(A501="","",IF(F501="","Not yet scored",IF(F501&gt;=G501,"Pass","Fail")))</f>
        <v/>
      </c>
      <c r="I501" s="85" t="str">
        <f aca="false">IF(A501="","",INDEX(Candidates!$B$1:$B$500,K501))</f>
        <v/>
      </c>
      <c r="K501" s="86" t="n">
        <f aca="false">INT((ROW()-2)/7)+2</f>
        <v>73</v>
      </c>
      <c r="L501" s="86" t="n">
        <f aca="false">MOD(ROW()-2,7)+1</f>
        <v>3</v>
      </c>
    </row>
    <row r="502" customFormat="false" ht="15" hidden="false" customHeight="false" outlineLevel="0" collapsed="false">
      <c r="A502" s="85" t="str">
        <f aca="false">IF(INDEX(Candidates!$A$1:$A$500,K502)="","",INDEX(Candidates!$A$1:$A$500,K502))</f>
        <v/>
      </c>
      <c r="B502" s="85" t="str">
        <f aca="false">IF(A502="","",INDEX(Candidates!$C$1:$C$500,K502))</f>
        <v/>
      </c>
      <c r="C502" s="85" t="str">
        <f aca="false">IF(A502="","",INDEX(Candidates!$D$1:$D$500,K502))</f>
        <v/>
      </c>
      <c r="D502" s="85" t="str">
        <f aca="false">IF(A502="","",L502)</f>
        <v/>
      </c>
      <c r="E502" s="85" t="str">
        <f aca="false">IF(A502="","",INDEX($O$2:$O$8,L502))</f>
        <v/>
      </c>
      <c r="F502" s="85" t="str">
        <f aca="false">IF(A502="","",IF(ISNUMBER(INDEX(Candidates!$A$1:$Z$500,K502,INDEX($P$2:$P$8,L502))),INDEX(Candidates!$A$1:$Z$500,K502,INDEX($P$2:$P$8,L502)),""))</f>
        <v/>
      </c>
      <c r="G502" s="85" t="str">
        <f aca="false">IF(A502="","",INDEX($Q$2:$Q$8,L502))</f>
        <v/>
      </c>
      <c r="H502" s="85" t="str">
        <f aca="false">IF(A502="","",IF(F502="","Not yet scored",IF(F502&gt;=G502,"Pass","Fail")))</f>
        <v/>
      </c>
      <c r="I502" s="85" t="str">
        <f aca="false">IF(A502="","",INDEX(Candidates!$B$1:$B$500,K502))</f>
        <v/>
      </c>
      <c r="K502" s="86" t="n">
        <f aca="false">INT((ROW()-2)/7)+2</f>
        <v>73</v>
      </c>
      <c r="L502" s="86" t="n">
        <f aca="false">MOD(ROW()-2,7)+1</f>
        <v>4</v>
      </c>
    </row>
    <row r="503" customFormat="false" ht="15" hidden="false" customHeight="false" outlineLevel="0" collapsed="false">
      <c r="A503" s="85" t="str">
        <f aca="false">IF(INDEX(Candidates!$A$1:$A$500,K503)="","",INDEX(Candidates!$A$1:$A$500,K503))</f>
        <v/>
      </c>
      <c r="B503" s="85" t="str">
        <f aca="false">IF(A503="","",INDEX(Candidates!$C$1:$C$500,K503))</f>
        <v/>
      </c>
      <c r="C503" s="85" t="str">
        <f aca="false">IF(A503="","",INDEX(Candidates!$D$1:$D$500,K503))</f>
        <v/>
      </c>
      <c r="D503" s="85" t="str">
        <f aca="false">IF(A503="","",L503)</f>
        <v/>
      </c>
      <c r="E503" s="85" t="str">
        <f aca="false">IF(A503="","",INDEX($O$2:$O$8,L503))</f>
        <v/>
      </c>
      <c r="F503" s="85" t="str">
        <f aca="false">IF(A503="","",IF(ISNUMBER(INDEX(Candidates!$A$1:$Z$500,K503,INDEX($P$2:$P$8,L503))),INDEX(Candidates!$A$1:$Z$500,K503,INDEX($P$2:$P$8,L503)),""))</f>
        <v/>
      </c>
      <c r="G503" s="85" t="str">
        <f aca="false">IF(A503="","",INDEX($Q$2:$Q$8,L503))</f>
        <v/>
      </c>
      <c r="H503" s="85" t="str">
        <f aca="false">IF(A503="","",IF(F503="","Not yet scored",IF(F503&gt;=G503,"Pass","Fail")))</f>
        <v/>
      </c>
      <c r="I503" s="85" t="str">
        <f aca="false">IF(A503="","",INDEX(Candidates!$B$1:$B$500,K503))</f>
        <v/>
      </c>
      <c r="K503" s="86" t="n">
        <f aca="false">INT((ROW()-2)/7)+2</f>
        <v>73</v>
      </c>
      <c r="L503" s="86" t="n">
        <f aca="false">MOD(ROW()-2,7)+1</f>
        <v>5</v>
      </c>
    </row>
    <row r="504" customFormat="false" ht="15" hidden="false" customHeight="false" outlineLevel="0" collapsed="false">
      <c r="A504" s="85" t="str">
        <f aca="false">IF(INDEX(Candidates!$A$1:$A$500,K504)="","",INDEX(Candidates!$A$1:$A$500,K504))</f>
        <v/>
      </c>
      <c r="B504" s="85" t="str">
        <f aca="false">IF(A504="","",INDEX(Candidates!$C$1:$C$500,K504))</f>
        <v/>
      </c>
      <c r="C504" s="85" t="str">
        <f aca="false">IF(A504="","",INDEX(Candidates!$D$1:$D$500,K504))</f>
        <v/>
      </c>
      <c r="D504" s="85" t="str">
        <f aca="false">IF(A504="","",L504)</f>
        <v/>
      </c>
      <c r="E504" s="85" t="str">
        <f aca="false">IF(A504="","",INDEX($O$2:$O$8,L504))</f>
        <v/>
      </c>
      <c r="F504" s="85" t="str">
        <f aca="false">IF(A504="","",IF(ISNUMBER(INDEX(Candidates!$A$1:$Z$500,K504,INDEX($P$2:$P$8,L504))),INDEX(Candidates!$A$1:$Z$500,K504,INDEX($P$2:$P$8,L504)),""))</f>
        <v/>
      </c>
      <c r="G504" s="85" t="str">
        <f aca="false">IF(A504="","",INDEX($Q$2:$Q$8,L504))</f>
        <v/>
      </c>
      <c r="H504" s="85" t="str">
        <f aca="false">IF(A504="","",IF(F504="","Not yet scored",IF(F504&gt;=G504,"Pass","Fail")))</f>
        <v/>
      </c>
      <c r="I504" s="85" t="str">
        <f aca="false">IF(A504="","",INDEX(Candidates!$B$1:$B$500,K504))</f>
        <v/>
      </c>
      <c r="K504" s="86" t="n">
        <f aca="false">INT((ROW()-2)/7)+2</f>
        <v>73</v>
      </c>
      <c r="L504" s="86" t="n">
        <f aca="false">MOD(ROW()-2,7)+1</f>
        <v>6</v>
      </c>
    </row>
    <row r="505" customFormat="false" ht="15" hidden="false" customHeight="false" outlineLevel="0" collapsed="false">
      <c r="A505" s="85" t="str">
        <f aca="false">IF(INDEX(Candidates!$A$1:$A$500,K505)="","",INDEX(Candidates!$A$1:$A$500,K505))</f>
        <v/>
      </c>
      <c r="B505" s="85" t="str">
        <f aca="false">IF(A505="","",INDEX(Candidates!$C$1:$C$500,K505))</f>
        <v/>
      </c>
      <c r="C505" s="85" t="str">
        <f aca="false">IF(A505="","",INDEX(Candidates!$D$1:$D$500,K505))</f>
        <v/>
      </c>
      <c r="D505" s="85" t="str">
        <f aca="false">IF(A505="","",L505)</f>
        <v/>
      </c>
      <c r="E505" s="85" t="str">
        <f aca="false">IF(A505="","",INDEX($O$2:$O$8,L505))</f>
        <v/>
      </c>
      <c r="F505" s="85" t="str">
        <f aca="false">IF(A505="","",IF(ISNUMBER(INDEX(Candidates!$A$1:$Z$500,K505,INDEX($P$2:$P$8,L505))),INDEX(Candidates!$A$1:$Z$500,K505,INDEX($P$2:$P$8,L505)),""))</f>
        <v/>
      </c>
      <c r="G505" s="85" t="str">
        <f aca="false">IF(A505="","",INDEX($Q$2:$Q$8,L505))</f>
        <v/>
      </c>
      <c r="H505" s="85" t="str">
        <f aca="false">IF(A505="","",IF(F505="","Not yet scored",IF(F505&gt;=G505,"Pass","Fail")))</f>
        <v/>
      </c>
      <c r="I505" s="85" t="str">
        <f aca="false">IF(A505="","",INDEX(Candidates!$B$1:$B$500,K505))</f>
        <v/>
      </c>
      <c r="K505" s="86" t="n">
        <f aca="false">INT((ROW()-2)/7)+2</f>
        <v>73</v>
      </c>
      <c r="L505" s="86" t="n">
        <f aca="false">MOD(ROW()-2,7)+1</f>
        <v>7</v>
      </c>
    </row>
    <row r="506" customFormat="false" ht="15" hidden="false" customHeight="false" outlineLevel="0" collapsed="false">
      <c r="A506" s="85" t="str">
        <f aca="false">IF(INDEX(Candidates!$A$1:$A$500,K506)="","",INDEX(Candidates!$A$1:$A$500,K506))</f>
        <v/>
      </c>
      <c r="B506" s="85" t="str">
        <f aca="false">IF(A506="","",INDEX(Candidates!$C$1:$C$500,K506))</f>
        <v/>
      </c>
      <c r="C506" s="85" t="str">
        <f aca="false">IF(A506="","",INDEX(Candidates!$D$1:$D$500,K506))</f>
        <v/>
      </c>
      <c r="D506" s="85" t="str">
        <f aca="false">IF(A506="","",L506)</f>
        <v/>
      </c>
      <c r="E506" s="85" t="str">
        <f aca="false">IF(A506="","",INDEX($O$2:$O$8,L506))</f>
        <v/>
      </c>
      <c r="F506" s="85" t="str">
        <f aca="false">IF(A506="","",IF(ISNUMBER(INDEX(Candidates!$A$1:$Z$500,K506,INDEX($P$2:$P$8,L506))),INDEX(Candidates!$A$1:$Z$500,K506,INDEX($P$2:$P$8,L506)),""))</f>
        <v/>
      </c>
      <c r="G506" s="85" t="str">
        <f aca="false">IF(A506="","",INDEX($Q$2:$Q$8,L506))</f>
        <v/>
      </c>
      <c r="H506" s="85" t="str">
        <f aca="false">IF(A506="","",IF(F506="","Not yet scored",IF(F506&gt;=G506,"Pass","Fail")))</f>
        <v/>
      </c>
      <c r="I506" s="85" t="str">
        <f aca="false">IF(A506="","",INDEX(Candidates!$B$1:$B$500,K506))</f>
        <v/>
      </c>
      <c r="K506" s="86" t="n">
        <f aca="false">INT((ROW()-2)/7)+2</f>
        <v>74</v>
      </c>
      <c r="L506" s="86" t="n">
        <f aca="false">MOD(ROW()-2,7)+1</f>
        <v>1</v>
      </c>
    </row>
    <row r="507" customFormat="false" ht="15" hidden="false" customHeight="false" outlineLevel="0" collapsed="false">
      <c r="A507" s="85" t="str">
        <f aca="false">IF(INDEX(Candidates!$A$1:$A$500,K507)="","",INDEX(Candidates!$A$1:$A$500,K507))</f>
        <v/>
      </c>
      <c r="B507" s="85" t="str">
        <f aca="false">IF(A507="","",INDEX(Candidates!$C$1:$C$500,K507))</f>
        <v/>
      </c>
      <c r="C507" s="85" t="str">
        <f aca="false">IF(A507="","",INDEX(Candidates!$D$1:$D$500,K507))</f>
        <v/>
      </c>
      <c r="D507" s="85" t="str">
        <f aca="false">IF(A507="","",L507)</f>
        <v/>
      </c>
      <c r="E507" s="85" t="str">
        <f aca="false">IF(A507="","",INDEX($O$2:$O$8,L507))</f>
        <v/>
      </c>
      <c r="F507" s="85" t="str">
        <f aca="false">IF(A507="","",IF(ISNUMBER(INDEX(Candidates!$A$1:$Z$500,K507,INDEX($P$2:$P$8,L507))),INDEX(Candidates!$A$1:$Z$500,K507,INDEX($P$2:$P$8,L507)),""))</f>
        <v/>
      </c>
      <c r="G507" s="85" t="str">
        <f aca="false">IF(A507="","",INDEX($Q$2:$Q$8,L507))</f>
        <v/>
      </c>
      <c r="H507" s="85" t="str">
        <f aca="false">IF(A507="","",IF(F507="","Not yet scored",IF(F507&gt;=G507,"Pass","Fail")))</f>
        <v/>
      </c>
      <c r="I507" s="85" t="str">
        <f aca="false">IF(A507="","",INDEX(Candidates!$B$1:$B$500,K507))</f>
        <v/>
      </c>
      <c r="K507" s="86" t="n">
        <f aca="false">INT((ROW()-2)/7)+2</f>
        <v>74</v>
      </c>
      <c r="L507" s="86" t="n">
        <f aca="false">MOD(ROW()-2,7)+1</f>
        <v>2</v>
      </c>
    </row>
    <row r="508" customFormat="false" ht="15" hidden="false" customHeight="false" outlineLevel="0" collapsed="false">
      <c r="A508" s="85" t="str">
        <f aca="false">IF(INDEX(Candidates!$A$1:$A$500,K508)="","",INDEX(Candidates!$A$1:$A$500,K508))</f>
        <v/>
      </c>
      <c r="B508" s="85" t="str">
        <f aca="false">IF(A508="","",INDEX(Candidates!$C$1:$C$500,K508))</f>
        <v/>
      </c>
      <c r="C508" s="85" t="str">
        <f aca="false">IF(A508="","",INDEX(Candidates!$D$1:$D$500,K508))</f>
        <v/>
      </c>
      <c r="D508" s="85" t="str">
        <f aca="false">IF(A508="","",L508)</f>
        <v/>
      </c>
      <c r="E508" s="85" t="str">
        <f aca="false">IF(A508="","",INDEX($O$2:$O$8,L508))</f>
        <v/>
      </c>
      <c r="F508" s="85" t="str">
        <f aca="false">IF(A508="","",IF(ISNUMBER(INDEX(Candidates!$A$1:$Z$500,K508,INDEX($P$2:$P$8,L508))),INDEX(Candidates!$A$1:$Z$500,K508,INDEX($P$2:$P$8,L508)),""))</f>
        <v/>
      </c>
      <c r="G508" s="85" t="str">
        <f aca="false">IF(A508="","",INDEX($Q$2:$Q$8,L508))</f>
        <v/>
      </c>
      <c r="H508" s="85" t="str">
        <f aca="false">IF(A508="","",IF(F508="","Not yet scored",IF(F508&gt;=G508,"Pass","Fail")))</f>
        <v/>
      </c>
      <c r="I508" s="85" t="str">
        <f aca="false">IF(A508="","",INDEX(Candidates!$B$1:$B$500,K508))</f>
        <v/>
      </c>
      <c r="K508" s="86" t="n">
        <f aca="false">INT((ROW()-2)/7)+2</f>
        <v>74</v>
      </c>
      <c r="L508" s="86" t="n">
        <f aca="false">MOD(ROW()-2,7)+1</f>
        <v>3</v>
      </c>
    </row>
    <row r="509" customFormat="false" ht="15" hidden="false" customHeight="false" outlineLevel="0" collapsed="false">
      <c r="A509" s="85" t="str">
        <f aca="false">IF(INDEX(Candidates!$A$1:$A$500,K509)="","",INDEX(Candidates!$A$1:$A$500,K509))</f>
        <v/>
      </c>
      <c r="B509" s="85" t="str">
        <f aca="false">IF(A509="","",INDEX(Candidates!$C$1:$C$500,K509))</f>
        <v/>
      </c>
      <c r="C509" s="85" t="str">
        <f aca="false">IF(A509="","",INDEX(Candidates!$D$1:$D$500,K509))</f>
        <v/>
      </c>
      <c r="D509" s="85" t="str">
        <f aca="false">IF(A509="","",L509)</f>
        <v/>
      </c>
      <c r="E509" s="85" t="str">
        <f aca="false">IF(A509="","",INDEX($O$2:$O$8,L509))</f>
        <v/>
      </c>
      <c r="F509" s="85" t="str">
        <f aca="false">IF(A509="","",IF(ISNUMBER(INDEX(Candidates!$A$1:$Z$500,K509,INDEX($P$2:$P$8,L509))),INDEX(Candidates!$A$1:$Z$500,K509,INDEX($P$2:$P$8,L509)),""))</f>
        <v/>
      </c>
      <c r="G509" s="85" t="str">
        <f aca="false">IF(A509="","",INDEX($Q$2:$Q$8,L509))</f>
        <v/>
      </c>
      <c r="H509" s="85" t="str">
        <f aca="false">IF(A509="","",IF(F509="","Not yet scored",IF(F509&gt;=G509,"Pass","Fail")))</f>
        <v/>
      </c>
      <c r="I509" s="85" t="str">
        <f aca="false">IF(A509="","",INDEX(Candidates!$B$1:$B$500,K509))</f>
        <v/>
      </c>
      <c r="K509" s="86" t="n">
        <f aca="false">INT((ROW()-2)/7)+2</f>
        <v>74</v>
      </c>
      <c r="L509" s="86" t="n">
        <f aca="false">MOD(ROW()-2,7)+1</f>
        <v>4</v>
      </c>
    </row>
    <row r="510" customFormat="false" ht="15" hidden="false" customHeight="false" outlineLevel="0" collapsed="false">
      <c r="A510" s="85" t="str">
        <f aca="false">IF(INDEX(Candidates!$A$1:$A$500,K510)="","",INDEX(Candidates!$A$1:$A$500,K510))</f>
        <v/>
      </c>
      <c r="B510" s="85" t="str">
        <f aca="false">IF(A510="","",INDEX(Candidates!$C$1:$C$500,K510))</f>
        <v/>
      </c>
      <c r="C510" s="85" t="str">
        <f aca="false">IF(A510="","",INDEX(Candidates!$D$1:$D$500,K510))</f>
        <v/>
      </c>
      <c r="D510" s="85" t="str">
        <f aca="false">IF(A510="","",L510)</f>
        <v/>
      </c>
      <c r="E510" s="85" t="str">
        <f aca="false">IF(A510="","",INDEX($O$2:$O$8,L510))</f>
        <v/>
      </c>
      <c r="F510" s="85" t="str">
        <f aca="false">IF(A510="","",IF(ISNUMBER(INDEX(Candidates!$A$1:$Z$500,K510,INDEX($P$2:$P$8,L510))),INDEX(Candidates!$A$1:$Z$500,K510,INDEX($P$2:$P$8,L510)),""))</f>
        <v/>
      </c>
      <c r="G510" s="85" t="str">
        <f aca="false">IF(A510="","",INDEX($Q$2:$Q$8,L510))</f>
        <v/>
      </c>
      <c r="H510" s="85" t="str">
        <f aca="false">IF(A510="","",IF(F510="","Not yet scored",IF(F510&gt;=G510,"Pass","Fail")))</f>
        <v/>
      </c>
      <c r="I510" s="85" t="str">
        <f aca="false">IF(A510="","",INDEX(Candidates!$B$1:$B$500,K510))</f>
        <v/>
      </c>
      <c r="K510" s="86" t="n">
        <f aca="false">INT((ROW()-2)/7)+2</f>
        <v>74</v>
      </c>
      <c r="L510" s="86" t="n">
        <f aca="false">MOD(ROW()-2,7)+1</f>
        <v>5</v>
      </c>
    </row>
    <row r="511" customFormat="false" ht="15" hidden="false" customHeight="false" outlineLevel="0" collapsed="false">
      <c r="A511" s="85" t="str">
        <f aca="false">IF(INDEX(Candidates!$A$1:$A$500,K511)="","",INDEX(Candidates!$A$1:$A$500,K511))</f>
        <v/>
      </c>
      <c r="B511" s="85" t="str">
        <f aca="false">IF(A511="","",INDEX(Candidates!$C$1:$C$500,K511))</f>
        <v/>
      </c>
      <c r="C511" s="85" t="str">
        <f aca="false">IF(A511="","",INDEX(Candidates!$D$1:$D$500,K511))</f>
        <v/>
      </c>
      <c r="D511" s="85" t="str">
        <f aca="false">IF(A511="","",L511)</f>
        <v/>
      </c>
      <c r="E511" s="85" t="str">
        <f aca="false">IF(A511="","",INDEX($O$2:$O$8,L511))</f>
        <v/>
      </c>
      <c r="F511" s="85" t="str">
        <f aca="false">IF(A511="","",IF(ISNUMBER(INDEX(Candidates!$A$1:$Z$500,K511,INDEX($P$2:$P$8,L511))),INDEX(Candidates!$A$1:$Z$500,K511,INDEX($P$2:$P$8,L511)),""))</f>
        <v/>
      </c>
      <c r="G511" s="85" t="str">
        <f aca="false">IF(A511="","",INDEX($Q$2:$Q$8,L511))</f>
        <v/>
      </c>
      <c r="H511" s="85" t="str">
        <f aca="false">IF(A511="","",IF(F511="","Not yet scored",IF(F511&gt;=G511,"Pass","Fail")))</f>
        <v/>
      </c>
      <c r="I511" s="85" t="str">
        <f aca="false">IF(A511="","",INDEX(Candidates!$B$1:$B$500,K511))</f>
        <v/>
      </c>
      <c r="K511" s="86" t="n">
        <f aca="false">INT((ROW()-2)/7)+2</f>
        <v>74</v>
      </c>
      <c r="L511" s="86" t="n">
        <f aca="false">MOD(ROW()-2,7)+1</f>
        <v>6</v>
      </c>
    </row>
    <row r="512" customFormat="false" ht="15" hidden="false" customHeight="false" outlineLevel="0" collapsed="false">
      <c r="A512" s="85" t="str">
        <f aca="false">IF(INDEX(Candidates!$A$1:$A$500,K512)="","",INDEX(Candidates!$A$1:$A$500,K512))</f>
        <v/>
      </c>
      <c r="B512" s="85" t="str">
        <f aca="false">IF(A512="","",INDEX(Candidates!$C$1:$C$500,K512))</f>
        <v/>
      </c>
      <c r="C512" s="85" t="str">
        <f aca="false">IF(A512="","",INDEX(Candidates!$D$1:$D$500,K512))</f>
        <v/>
      </c>
      <c r="D512" s="85" t="str">
        <f aca="false">IF(A512="","",L512)</f>
        <v/>
      </c>
      <c r="E512" s="85" t="str">
        <f aca="false">IF(A512="","",INDEX($O$2:$O$8,L512))</f>
        <v/>
      </c>
      <c r="F512" s="85" t="str">
        <f aca="false">IF(A512="","",IF(ISNUMBER(INDEX(Candidates!$A$1:$Z$500,K512,INDEX($P$2:$P$8,L512))),INDEX(Candidates!$A$1:$Z$500,K512,INDEX($P$2:$P$8,L512)),""))</f>
        <v/>
      </c>
      <c r="G512" s="85" t="str">
        <f aca="false">IF(A512="","",INDEX($Q$2:$Q$8,L512))</f>
        <v/>
      </c>
      <c r="H512" s="85" t="str">
        <f aca="false">IF(A512="","",IF(F512="","Not yet scored",IF(F512&gt;=G512,"Pass","Fail")))</f>
        <v/>
      </c>
      <c r="I512" s="85" t="str">
        <f aca="false">IF(A512="","",INDEX(Candidates!$B$1:$B$500,K512))</f>
        <v/>
      </c>
      <c r="K512" s="86" t="n">
        <f aca="false">INT((ROW()-2)/7)+2</f>
        <v>74</v>
      </c>
      <c r="L512" s="86" t="n">
        <f aca="false">MOD(ROW()-2,7)+1</f>
        <v>7</v>
      </c>
    </row>
    <row r="513" customFormat="false" ht="15" hidden="false" customHeight="false" outlineLevel="0" collapsed="false">
      <c r="A513" s="85" t="str">
        <f aca="false">IF(INDEX(Candidates!$A$1:$A$500,K513)="","",INDEX(Candidates!$A$1:$A$500,K513))</f>
        <v/>
      </c>
      <c r="B513" s="85" t="str">
        <f aca="false">IF(A513="","",INDEX(Candidates!$C$1:$C$500,K513))</f>
        <v/>
      </c>
      <c r="C513" s="85" t="str">
        <f aca="false">IF(A513="","",INDEX(Candidates!$D$1:$D$500,K513))</f>
        <v/>
      </c>
      <c r="D513" s="85" t="str">
        <f aca="false">IF(A513="","",L513)</f>
        <v/>
      </c>
      <c r="E513" s="85" t="str">
        <f aca="false">IF(A513="","",INDEX($O$2:$O$8,L513))</f>
        <v/>
      </c>
      <c r="F513" s="85" t="str">
        <f aca="false">IF(A513="","",IF(ISNUMBER(INDEX(Candidates!$A$1:$Z$500,K513,INDEX($P$2:$P$8,L513))),INDEX(Candidates!$A$1:$Z$500,K513,INDEX($P$2:$P$8,L513)),""))</f>
        <v/>
      </c>
      <c r="G513" s="85" t="str">
        <f aca="false">IF(A513="","",INDEX($Q$2:$Q$8,L513))</f>
        <v/>
      </c>
      <c r="H513" s="85" t="str">
        <f aca="false">IF(A513="","",IF(F513="","Not yet scored",IF(F513&gt;=G513,"Pass","Fail")))</f>
        <v/>
      </c>
      <c r="I513" s="85" t="str">
        <f aca="false">IF(A513="","",INDEX(Candidates!$B$1:$B$500,K513))</f>
        <v/>
      </c>
      <c r="K513" s="86" t="n">
        <f aca="false">INT((ROW()-2)/7)+2</f>
        <v>75</v>
      </c>
      <c r="L513" s="86" t="n">
        <f aca="false">MOD(ROW()-2,7)+1</f>
        <v>1</v>
      </c>
    </row>
    <row r="514" customFormat="false" ht="15" hidden="false" customHeight="false" outlineLevel="0" collapsed="false">
      <c r="A514" s="85" t="str">
        <f aca="false">IF(INDEX(Candidates!$A$1:$A$500,K514)="","",INDEX(Candidates!$A$1:$A$500,K514))</f>
        <v/>
      </c>
      <c r="B514" s="85" t="str">
        <f aca="false">IF(A514="","",INDEX(Candidates!$C$1:$C$500,K514))</f>
        <v/>
      </c>
      <c r="C514" s="85" t="str">
        <f aca="false">IF(A514="","",INDEX(Candidates!$D$1:$D$500,K514))</f>
        <v/>
      </c>
      <c r="D514" s="85" t="str">
        <f aca="false">IF(A514="","",L514)</f>
        <v/>
      </c>
      <c r="E514" s="85" t="str">
        <f aca="false">IF(A514="","",INDEX($O$2:$O$8,L514))</f>
        <v/>
      </c>
      <c r="F514" s="85" t="str">
        <f aca="false">IF(A514="","",IF(ISNUMBER(INDEX(Candidates!$A$1:$Z$500,K514,INDEX($P$2:$P$8,L514))),INDEX(Candidates!$A$1:$Z$500,K514,INDEX($P$2:$P$8,L514)),""))</f>
        <v/>
      </c>
      <c r="G514" s="85" t="str">
        <f aca="false">IF(A514="","",INDEX($Q$2:$Q$8,L514))</f>
        <v/>
      </c>
      <c r="H514" s="85" t="str">
        <f aca="false">IF(A514="","",IF(F514="","Not yet scored",IF(F514&gt;=G514,"Pass","Fail")))</f>
        <v/>
      </c>
      <c r="I514" s="85" t="str">
        <f aca="false">IF(A514="","",INDEX(Candidates!$B$1:$B$500,K514))</f>
        <v/>
      </c>
      <c r="K514" s="86" t="n">
        <f aca="false">INT((ROW()-2)/7)+2</f>
        <v>75</v>
      </c>
      <c r="L514" s="86" t="n">
        <f aca="false">MOD(ROW()-2,7)+1</f>
        <v>2</v>
      </c>
    </row>
    <row r="515" customFormat="false" ht="15" hidden="false" customHeight="false" outlineLevel="0" collapsed="false">
      <c r="A515" s="85" t="str">
        <f aca="false">IF(INDEX(Candidates!$A$1:$A$500,K515)="","",INDEX(Candidates!$A$1:$A$500,K515))</f>
        <v/>
      </c>
      <c r="B515" s="85" t="str">
        <f aca="false">IF(A515="","",INDEX(Candidates!$C$1:$C$500,K515))</f>
        <v/>
      </c>
      <c r="C515" s="85" t="str">
        <f aca="false">IF(A515="","",INDEX(Candidates!$D$1:$D$500,K515))</f>
        <v/>
      </c>
      <c r="D515" s="85" t="str">
        <f aca="false">IF(A515="","",L515)</f>
        <v/>
      </c>
      <c r="E515" s="85" t="str">
        <f aca="false">IF(A515="","",INDEX($O$2:$O$8,L515))</f>
        <v/>
      </c>
      <c r="F515" s="85" t="str">
        <f aca="false">IF(A515="","",IF(ISNUMBER(INDEX(Candidates!$A$1:$Z$500,K515,INDEX($P$2:$P$8,L515))),INDEX(Candidates!$A$1:$Z$500,K515,INDEX($P$2:$P$8,L515)),""))</f>
        <v/>
      </c>
      <c r="G515" s="85" t="str">
        <f aca="false">IF(A515="","",INDEX($Q$2:$Q$8,L515))</f>
        <v/>
      </c>
      <c r="H515" s="85" t="str">
        <f aca="false">IF(A515="","",IF(F515="","Not yet scored",IF(F515&gt;=G515,"Pass","Fail")))</f>
        <v/>
      </c>
      <c r="I515" s="85" t="str">
        <f aca="false">IF(A515="","",INDEX(Candidates!$B$1:$B$500,K515))</f>
        <v/>
      </c>
      <c r="K515" s="86" t="n">
        <f aca="false">INT((ROW()-2)/7)+2</f>
        <v>75</v>
      </c>
      <c r="L515" s="86" t="n">
        <f aca="false">MOD(ROW()-2,7)+1</f>
        <v>3</v>
      </c>
    </row>
    <row r="516" customFormat="false" ht="15" hidden="false" customHeight="false" outlineLevel="0" collapsed="false">
      <c r="A516" s="85" t="str">
        <f aca="false">IF(INDEX(Candidates!$A$1:$A$500,K516)="","",INDEX(Candidates!$A$1:$A$500,K516))</f>
        <v/>
      </c>
      <c r="B516" s="85" t="str">
        <f aca="false">IF(A516="","",INDEX(Candidates!$C$1:$C$500,K516))</f>
        <v/>
      </c>
      <c r="C516" s="85" t="str">
        <f aca="false">IF(A516="","",INDEX(Candidates!$D$1:$D$500,K516))</f>
        <v/>
      </c>
      <c r="D516" s="85" t="str">
        <f aca="false">IF(A516="","",L516)</f>
        <v/>
      </c>
      <c r="E516" s="85" t="str">
        <f aca="false">IF(A516="","",INDEX($O$2:$O$8,L516))</f>
        <v/>
      </c>
      <c r="F516" s="85" t="str">
        <f aca="false">IF(A516="","",IF(ISNUMBER(INDEX(Candidates!$A$1:$Z$500,K516,INDEX($P$2:$P$8,L516))),INDEX(Candidates!$A$1:$Z$500,K516,INDEX($P$2:$P$8,L516)),""))</f>
        <v/>
      </c>
      <c r="G516" s="85" t="str">
        <f aca="false">IF(A516="","",INDEX($Q$2:$Q$8,L516))</f>
        <v/>
      </c>
      <c r="H516" s="85" t="str">
        <f aca="false">IF(A516="","",IF(F516="","Not yet scored",IF(F516&gt;=G516,"Pass","Fail")))</f>
        <v/>
      </c>
      <c r="I516" s="85" t="str">
        <f aca="false">IF(A516="","",INDEX(Candidates!$B$1:$B$500,K516))</f>
        <v/>
      </c>
      <c r="K516" s="86" t="n">
        <f aca="false">INT((ROW()-2)/7)+2</f>
        <v>75</v>
      </c>
      <c r="L516" s="86" t="n">
        <f aca="false">MOD(ROW()-2,7)+1</f>
        <v>4</v>
      </c>
    </row>
    <row r="517" customFormat="false" ht="15" hidden="false" customHeight="false" outlineLevel="0" collapsed="false">
      <c r="A517" s="85" t="str">
        <f aca="false">IF(INDEX(Candidates!$A$1:$A$500,K517)="","",INDEX(Candidates!$A$1:$A$500,K517))</f>
        <v/>
      </c>
      <c r="B517" s="85" t="str">
        <f aca="false">IF(A517="","",INDEX(Candidates!$C$1:$C$500,K517))</f>
        <v/>
      </c>
      <c r="C517" s="85" t="str">
        <f aca="false">IF(A517="","",INDEX(Candidates!$D$1:$D$500,K517))</f>
        <v/>
      </c>
      <c r="D517" s="85" t="str">
        <f aca="false">IF(A517="","",L517)</f>
        <v/>
      </c>
      <c r="E517" s="85" t="str">
        <f aca="false">IF(A517="","",INDEX($O$2:$O$8,L517))</f>
        <v/>
      </c>
      <c r="F517" s="85" t="str">
        <f aca="false">IF(A517="","",IF(ISNUMBER(INDEX(Candidates!$A$1:$Z$500,K517,INDEX($P$2:$P$8,L517))),INDEX(Candidates!$A$1:$Z$500,K517,INDEX($P$2:$P$8,L517)),""))</f>
        <v/>
      </c>
      <c r="G517" s="85" t="str">
        <f aca="false">IF(A517="","",INDEX($Q$2:$Q$8,L517))</f>
        <v/>
      </c>
      <c r="H517" s="85" t="str">
        <f aca="false">IF(A517="","",IF(F517="","Not yet scored",IF(F517&gt;=G517,"Pass","Fail")))</f>
        <v/>
      </c>
      <c r="I517" s="85" t="str">
        <f aca="false">IF(A517="","",INDEX(Candidates!$B$1:$B$500,K517))</f>
        <v/>
      </c>
      <c r="K517" s="86" t="n">
        <f aca="false">INT((ROW()-2)/7)+2</f>
        <v>75</v>
      </c>
      <c r="L517" s="86" t="n">
        <f aca="false">MOD(ROW()-2,7)+1</f>
        <v>5</v>
      </c>
    </row>
    <row r="518" customFormat="false" ht="15" hidden="false" customHeight="false" outlineLevel="0" collapsed="false">
      <c r="A518" s="85" t="str">
        <f aca="false">IF(INDEX(Candidates!$A$1:$A$500,K518)="","",INDEX(Candidates!$A$1:$A$500,K518))</f>
        <v/>
      </c>
      <c r="B518" s="85" t="str">
        <f aca="false">IF(A518="","",INDEX(Candidates!$C$1:$C$500,K518))</f>
        <v/>
      </c>
      <c r="C518" s="85" t="str">
        <f aca="false">IF(A518="","",INDEX(Candidates!$D$1:$D$500,K518))</f>
        <v/>
      </c>
      <c r="D518" s="85" t="str">
        <f aca="false">IF(A518="","",L518)</f>
        <v/>
      </c>
      <c r="E518" s="85" t="str">
        <f aca="false">IF(A518="","",INDEX($O$2:$O$8,L518))</f>
        <v/>
      </c>
      <c r="F518" s="85" t="str">
        <f aca="false">IF(A518="","",IF(ISNUMBER(INDEX(Candidates!$A$1:$Z$500,K518,INDEX($P$2:$P$8,L518))),INDEX(Candidates!$A$1:$Z$500,K518,INDEX($P$2:$P$8,L518)),""))</f>
        <v/>
      </c>
      <c r="G518" s="85" t="str">
        <f aca="false">IF(A518="","",INDEX($Q$2:$Q$8,L518))</f>
        <v/>
      </c>
      <c r="H518" s="85" t="str">
        <f aca="false">IF(A518="","",IF(F518="","Not yet scored",IF(F518&gt;=G518,"Pass","Fail")))</f>
        <v/>
      </c>
      <c r="I518" s="85" t="str">
        <f aca="false">IF(A518="","",INDEX(Candidates!$B$1:$B$500,K518))</f>
        <v/>
      </c>
      <c r="K518" s="86" t="n">
        <f aca="false">INT((ROW()-2)/7)+2</f>
        <v>75</v>
      </c>
      <c r="L518" s="86" t="n">
        <f aca="false">MOD(ROW()-2,7)+1</f>
        <v>6</v>
      </c>
    </row>
    <row r="519" customFormat="false" ht="15" hidden="false" customHeight="false" outlineLevel="0" collapsed="false">
      <c r="A519" s="85" t="str">
        <f aca="false">IF(INDEX(Candidates!$A$1:$A$500,K519)="","",INDEX(Candidates!$A$1:$A$500,K519))</f>
        <v/>
      </c>
      <c r="B519" s="85" t="str">
        <f aca="false">IF(A519="","",INDEX(Candidates!$C$1:$C$500,K519))</f>
        <v/>
      </c>
      <c r="C519" s="85" t="str">
        <f aca="false">IF(A519="","",INDEX(Candidates!$D$1:$D$500,K519))</f>
        <v/>
      </c>
      <c r="D519" s="85" t="str">
        <f aca="false">IF(A519="","",L519)</f>
        <v/>
      </c>
      <c r="E519" s="85" t="str">
        <f aca="false">IF(A519="","",INDEX($O$2:$O$8,L519))</f>
        <v/>
      </c>
      <c r="F519" s="85" t="str">
        <f aca="false">IF(A519="","",IF(ISNUMBER(INDEX(Candidates!$A$1:$Z$500,K519,INDEX($P$2:$P$8,L519))),INDEX(Candidates!$A$1:$Z$500,K519,INDEX($P$2:$P$8,L519)),""))</f>
        <v/>
      </c>
      <c r="G519" s="85" t="str">
        <f aca="false">IF(A519="","",INDEX($Q$2:$Q$8,L519))</f>
        <v/>
      </c>
      <c r="H519" s="85" t="str">
        <f aca="false">IF(A519="","",IF(F519="","Not yet scored",IF(F519&gt;=G519,"Pass","Fail")))</f>
        <v/>
      </c>
      <c r="I519" s="85" t="str">
        <f aca="false">IF(A519="","",INDEX(Candidates!$B$1:$B$500,K519))</f>
        <v/>
      </c>
      <c r="K519" s="86" t="n">
        <f aca="false">INT((ROW()-2)/7)+2</f>
        <v>75</v>
      </c>
      <c r="L519" s="86" t="n">
        <f aca="false">MOD(ROW()-2,7)+1</f>
        <v>7</v>
      </c>
    </row>
    <row r="520" customFormat="false" ht="15" hidden="false" customHeight="false" outlineLevel="0" collapsed="false">
      <c r="A520" s="85" t="str">
        <f aca="false">IF(INDEX(Candidates!$A$1:$A$500,K520)="","",INDEX(Candidates!$A$1:$A$500,K520))</f>
        <v/>
      </c>
      <c r="B520" s="85" t="str">
        <f aca="false">IF(A520="","",INDEX(Candidates!$C$1:$C$500,K520))</f>
        <v/>
      </c>
      <c r="C520" s="85" t="str">
        <f aca="false">IF(A520="","",INDEX(Candidates!$D$1:$D$500,K520))</f>
        <v/>
      </c>
      <c r="D520" s="85" t="str">
        <f aca="false">IF(A520="","",L520)</f>
        <v/>
      </c>
      <c r="E520" s="85" t="str">
        <f aca="false">IF(A520="","",INDEX($O$2:$O$8,L520))</f>
        <v/>
      </c>
      <c r="F520" s="85" t="str">
        <f aca="false">IF(A520="","",IF(ISNUMBER(INDEX(Candidates!$A$1:$Z$500,K520,INDEX($P$2:$P$8,L520))),INDEX(Candidates!$A$1:$Z$500,K520,INDEX($P$2:$P$8,L520)),""))</f>
        <v/>
      </c>
      <c r="G520" s="85" t="str">
        <f aca="false">IF(A520="","",INDEX($Q$2:$Q$8,L520))</f>
        <v/>
      </c>
      <c r="H520" s="85" t="str">
        <f aca="false">IF(A520="","",IF(F520="","Not yet scored",IF(F520&gt;=G520,"Pass","Fail")))</f>
        <v/>
      </c>
      <c r="I520" s="85" t="str">
        <f aca="false">IF(A520="","",INDEX(Candidates!$B$1:$B$500,K520))</f>
        <v/>
      </c>
      <c r="K520" s="86" t="n">
        <f aca="false">INT((ROW()-2)/7)+2</f>
        <v>76</v>
      </c>
      <c r="L520" s="86" t="n">
        <f aca="false">MOD(ROW()-2,7)+1</f>
        <v>1</v>
      </c>
    </row>
    <row r="521" customFormat="false" ht="15" hidden="false" customHeight="false" outlineLevel="0" collapsed="false">
      <c r="A521" s="85" t="str">
        <f aca="false">IF(INDEX(Candidates!$A$1:$A$500,K521)="","",INDEX(Candidates!$A$1:$A$500,K521))</f>
        <v/>
      </c>
      <c r="B521" s="85" t="str">
        <f aca="false">IF(A521="","",INDEX(Candidates!$C$1:$C$500,K521))</f>
        <v/>
      </c>
      <c r="C521" s="85" t="str">
        <f aca="false">IF(A521="","",INDEX(Candidates!$D$1:$D$500,K521))</f>
        <v/>
      </c>
      <c r="D521" s="85" t="str">
        <f aca="false">IF(A521="","",L521)</f>
        <v/>
      </c>
      <c r="E521" s="85" t="str">
        <f aca="false">IF(A521="","",INDEX($O$2:$O$8,L521))</f>
        <v/>
      </c>
      <c r="F521" s="85" t="str">
        <f aca="false">IF(A521="","",IF(ISNUMBER(INDEX(Candidates!$A$1:$Z$500,K521,INDEX($P$2:$P$8,L521))),INDEX(Candidates!$A$1:$Z$500,K521,INDEX($P$2:$P$8,L521)),""))</f>
        <v/>
      </c>
      <c r="G521" s="85" t="str">
        <f aca="false">IF(A521="","",INDEX($Q$2:$Q$8,L521))</f>
        <v/>
      </c>
      <c r="H521" s="85" t="str">
        <f aca="false">IF(A521="","",IF(F521="","Not yet scored",IF(F521&gt;=G521,"Pass","Fail")))</f>
        <v/>
      </c>
      <c r="I521" s="85" t="str">
        <f aca="false">IF(A521="","",INDEX(Candidates!$B$1:$B$500,K521))</f>
        <v/>
      </c>
      <c r="K521" s="86" t="n">
        <f aca="false">INT((ROW()-2)/7)+2</f>
        <v>76</v>
      </c>
      <c r="L521" s="86" t="n">
        <f aca="false">MOD(ROW()-2,7)+1</f>
        <v>2</v>
      </c>
    </row>
    <row r="522" customFormat="false" ht="15" hidden="false" customHeight="false" outlineLevel="0" collapsed="false">
      <c r="A522" s="85" t="str">
        <f aca="false">IF(INDEX(Candidates!$A$1:$A$500,K522)="","",INDEX(Candidates!$A$1:$A$500,K522))</f>
        <v/>
      </c>
      <c r="B522" s="85" t="str">
        <f aca="false">IF(A522="","",INDEX(Candidates!$C$1:$C$500,K522))</f>
        <v/>
      </c>
      <c r="C522" s="85" t="str">
        <f aca="false">IF(A522="","",INDEX(Candidates!$D$1:$D$500,K522))</f>
        <v/>
      </c>
      <c r="D522" s="85" t="str">
        <f aca="false">IF(A522="","",L522)</f>
        <v/>
      </c>
      <c r="E522" s="85" t="str">
        <f aca="false">IF(A522="","",INDEX($O$2:$O$8,L522))</f>
        <v/>
      </c>
      <c r="F522" s="85" t="str">
        <f aca="false">IF(A522="","",IF(ISNUMBER(INDEX(Candidates!$A$1:$Z$500,K522,INDEX($P$2:$P$8,L522))),INDEX(Candidates!$A$1:$Z$500,K522,INDEX($P$2:$P$8,L522)),""))</f>
        <v/>
      </c>
      <c r="G522" s="85" t="str">
        <f aca="false">IF(A522="","",INDEX($Q$2:$Q$8,L522))</f>
        <v/>
      </c>
      <c r="H522" s="85" t="str">
        <f aca="false">IF(A522="","",IF(F522="","Not yet scored",IF(F522&gt;=G522,"Pass","Fail")))</f>
        <v/>
      </c>
      <c r="I522" s="85" t="str">
        <f aca="false">IF(A522="","",INDEX(Candidates!$B$1:$B$500,K522))</f>
        <v/>
      </c>
      <c r="K522" s="86" t="n">
        <f aca="false">INT((ROW()-2)/7)+2</f>
        <v>76</v>
      </c>
      <c r="L522" s="86" t="n">
        <f aca="false">MOD(ROW()-2,7)+1</f>
        <v>3</v>
      </c>
    </row>
    <row r="523" customFormat="false" ht="15" hidden="false" customHeight="false" outlineLevel="0" collapsed="false">
      <c r="A523" s="85" t="str">
        <f aca="false">IF(INDEX(Candidates!$A$1:$A$500,K523)="","",INDEX(Candidates!$A$1:$A$500,K523))</f>
        <v/>
      </c>
      <c r="B523" s="85" t="str">
        <f aca="false">IF(A523="","",INDEX(Candidates!$C$1:$C$500,K523))</f>
        <v/>
      </c>
      <c r="C523" s="85" t="str">
        <f aca="false">IF(A523="","",INDEX(Candidates!$D$1:$D$500,K523))</f>
        <v/>
      </c>
      <c r="D523" s="85" t="str">
        <f aca="false">IF(A523="","",L523)</f>
        <v/>
      </c>
      <c r="E523" s="85" t="str">
        <f aca="false">IF(A523="","",INDEX($O$2:$O$8,L523))</f>
        <v/>
      </c>
      <c r="F523" s="85" t="str">
        <f aca="false">IF(A523="","",IF(ISNUMBER(INDEX(Candidates!$A$1:$Z$500,K523,INDEX($P$2:$P$8,L523))),INDEX(Candidates!$A$1:$Z$500,K523,INDEX($P$2:$P$8,L523)),""))</f>
        <v/>
      </c>
      <c r="G523" s="85" t="str">
        <f aca="false">IF(A523="","",INDEX($Q$2:$Q$8,L523))</f>
        <v/>
      </c>
      <c r="H523" s="85" t="str">
        <f aca="false">IF(A523="","",IF(F523="","Not yet scored",IF(F523&gt;=G523,"Pass","Fail")))</f>
        <v/>
      </c>
      <c r="I523" s="85" t="str">
        <f aca="false">IF(A523="","",INDEX(Candidates!$B$1:$B$500,K523))</f>
        <v/>
      </c>
      <c r="K523" s="86" t="n">
        <f aca="false">INT((ROW()-2)/7)+2</f>
        <v>76</v>
      </c>
      <c r="L523" s="86" t="n">
        <f aca="false">MOD(ROW()-2,7)+1</f>
        <v>4</v>
      </c>
    </row>
    <row r="524" customFormat="false" ht="15" hidden="false" customHeight="false" outlineLevel="0" collapsed="false">
      <c r="A524" s="85" t="str">
        <f aca="false">IF(INDEX(Candidates!$A$1:$A$500,K524)="","",INDEX(Candidates!$A$1:$A$500,K524))</f>
        <v/>
      </c>
      <c r="B524" s="85" t="str">
        <f aca="false">IF(A524="","",INDEX(Candidates!$C$1:$C$500,K524))</f>
        <v/>
      </c>
      <c r="C524" s="85" t="str">
        <f aca="false">IF(A524="","",INDEX(Candidates!$D$1:$D$500,K524))</f>
        <v/>
      </c>
      <c r="D524" s="85" t="str">
        <f aca="false">IF(A524="","",L524)</f>
        <v/>
      </c>
      <c r="E524" s="85" t="str">
        <f aca="false">IF(A524="","",INDEX($O$2:$O$8,L524))</f>
        <v/>
      </c>
      <c r="F524" s="85" t="str">
        <f aca="false">IF(A524="","",IF(ISNUMBER(INDEX(Candidates!$A$1:$Z$500,K524,INDEX($P$2:$P$8,L524))),INDEX(Candidates!$A$1:$Z$500,K524,INDEX($P$2:$P$8,L524)),""))</f>
        <v/>
      </c>
      <c r="G524" s="85" t="str">
        <f aca="false">IF(A524="","",INDEX($Q$2:$Q$8,L524))</f>
        <v/>
      </c>
      <c r="H524" s="85" t="str">
        <f aca="false">IF(A524="","",IF(F524="","Not yet scored",IF(F524&gt;=G524,"Pass","Fail")))</f>
        <v/>
      </c>
      <c r="I524" s="85" t="str">
        <f aca="false">IF(A524="","",INDEX(Candidates!$B$1:$B$500,K524))</f>
        <v/>
      </c>
      <c r="K524" s="86" t="n">
        <f aca="false">INT((ROW()-2)/7)+2</f>
        <v>76</v>
      </c>
      <c r="L524" s="86" t="n">
        <f aca="false">MOD(ROW()-2,7)+1</f>
        <v>5</v>
      </c>
    </row>
    <row r="525" customFormat="false" ht="15" hidden="false" customHeight="false" outlineLevel="0" collapsed="false">
      <c r="A525" s="85" t="str">
        <f aca="false">IF(INDEX(Candidates!$A$1:$A$500,K525)="","",INDEX(Candidates!$A$1:$A$500,K525))</f>
        <v/>
      </c>
      <c r="B525" s="85" t="str">
        <f aca="false">IF(A525="","",INDEX(Candidates!$C$1:$C$500,K525))</f>
        <v/>
      </c>
      <c r="C525" s="85" t="str">
        <f aca="false">IF(A525="","",INDEX(Candidates!$D$1:$D$500,K525))</f>
        <v/>
      </c>
      <c r="D525" s="85" t="str">
        <f aca="false">IF(A525="","",L525)</f>
        <v/>
      </c>
      <c r="E525" s="85" t="str">
        <f aca="false">IF(A525="","",INDEX($O$2:$O$8,L525))</f>
        <v/>
      </c>
      <c r="F525" s="85" t="str">
        <f aca="false">IF(A525="","",IF(ISNUMBER(INDEX(Candidates!$A$1:$Z$500,K525,INDEX($P$2:$P$8,L525))),INDEX(Candidates!$A$1:$Z$500,K525,INDEX($P$2:$P$8,L525)),""))</f>
        <v/>
      </c>
      <c r="G525" s="85" t="str">
        <f aca="false">IF(A525="","",INDEX($Q$2:$Q$8,L525))</f>
        <v/>
      </c>
      <c r="H525" s="85" t="str">
        <f aca="false">IF(A525="","",IF(F525="","Not yet scored",IF(F525&gt;=G525,"Pass","Fail")))</f>
        <v/>
      </c>
      <c r="I525" s="85" t="str">
        <f aca="false">IF(A525="","",INDEX(Candidates!$B$1:$B$500,K525))</f>
        <v/>
      </c>
      <c r="K525" s="86" t="n">
        <f aca="false">INT((ROW()-2)/7)+2</f>
        <v>76</v>
      </c>
      <c r="L525" s="86" t="n">
        <f aca="false">MOD(ROW()-2,7)+1</f>
        <v>6</v>
      </c>
    </row>
    <row r="526" customFormat="false" ht="15" hidden="false" customHeight="false" outlineLevel="0" collapsed="false">
      <c r="A526" s="85" t="str">
        <f aca="false">IF(INDEX(Candidates!$A$1:$A$500,K526)="","",INDEX(Candidates!$A$1:$A$500,K526))</f>
        <v/>
      </c>
      <c r="B526" s="85" t="str">
        <f aca="false">IF(A526="","",INDEX(Candidates!$C$1:$C$500,K526))</f>
        <v/>
      </c>
      <c r="C526" s="85" t="str">
        <f aca="false">IF(A526="","",INDEX(Candidates!$D$1:$D$500,K526))</f>
        <v/>
      </c>
      <c r="D526" s="85" t="str">
        <f aca="false">IF(A526="","",L526)</f>
        <v/>
      </c>
      <c r="E526" s="85" t="str">
        <f aca="false">IF(A526="","",INDEX($O$2:$O$8,L526))</f>
        <v/>
      </c>
      <c r="F526" s="85" t="str">
        <f aca="false">IF(A526="","",IF(ISNUMBER(INDEX(Candidates!$A$1:$Z$500,K526,INDEX($P$2:$P$8,L526))),INDEX(Candidates!$A$1:$Z$500,K526,INDEX($P$2:$P$8,L526)),""))</f>
        <v/>
      </c>
      <c r="G526" s="85" t="str">
        <f aca="false">IF(A526="","",INDEX($Q$2:$Q$8,L526))</f>
        <v/>
      </c>
      <c r="H526" s="85" t="str">
        <f aca="false">IF(A526="","",IF(F526="","Not yet scored",IF(F526&gt;=G526,"Pass","Fail")))</f>
        <v/>
      </c>
      <c r="I526" s="85" t="str">
        <f aca="false">IF(A526="","",INDEX(Candidates!$B$1:$B$500,K526))</f>
        <v/>
      </c>
      <c r="K526" s="86" t="n">
        <f aca="false">INT((ROW()-2)/7)+2</f>
        <v>76</v>
      </c>
      <c r="L526" s="86" t="n">
        <f aca="false">MOD(ROW()-2,7)+1</f>
        <v>7</v>
      </c>
    </row>
    <row r="527" customFormat="false" ht="15" hidden="false" customHeight="false" outlineLevel="0" collapsed="false">
      <c r="A527" s="85" t="str">
        <f aca="false">IF(INDEX(Candidates!$A$1:$A$500,K527)="","",INDEX(Candidates!$A$1:$A$500,K527))</f>
        <v/>
      </c>
      <c r="B527" s="85" t="str">
        <f aca="false">IF(A527="","",INDEX(Candidates!$C$1:$C$500,K527))</f>
        <v/>
      </c>
      <c r="C527" s="85" t="str">
        <f aca="false">IF(A527="","",INDEX(Candidates!$D$1:$D$500,K527))</f>
        <v/>
      </c>
      <c r="D527" s="85" t="str">
        <f aca="false">IF(A527="","",L527)</f>
        <v/>
      </c>
      <c r="E527" s="85" t="str">
        <f aca="false">IF(A527="","",INDEX($O$2:$O$8,L527))</f>
        <v/>
      </c>
      <c r="F527" s="85" t="str">
        <f aca="false">IF(A527="","",IF(ISNUMBER(INDEX(Candidates!$A$1:$Z$500,K527,INDEX($P$2:$P$8,L527))),INDEX(Candidates!$A$1:$Z$500,K527,INDEX($P$2:$P$8,L527)),""))</f>
        <v/>
      </c>
      <c r="G527" s="85" t="str">
        <f aca="false">IF(A527="","",INDEX($Q$2:$Q$8,L527))</f>
        <v/>
      </c>
      <c r="H527" s="85" t="str">
        <f aca="false">IF(A527="","",IF(F527="","Not yet scored",IF(F527&gt;=G527,"Pass","Fail")))</f>
        <v/>
      </c>
      <c r="I527" s="85" t="str">
        <f aca="false">IF(A527="","",INDEX(Candidates!$B$1:$B$500,K527))</f>
        <v/>
      </c>
      <c r="K527" s="86" t="n">
        <f aca="false">INT((ROW()-2)/7)+2</f>
        <v>77</v>
      </c>
      <c r="L527" s="86" t="n">
        <f aca="false">MOD(ROW()-2,7)+1</f>
        <v>1</v>
      </c>
    </row>
    <row r="528" customFormat="false" ht="15" hidden="false" customHeight="false" outlineLevel="0" collapsed="false">
      <c r="A528" s="85" t="str">
        <f aca="false">IF(INDEX(Candidates!$A$1:$A$500,K528)="","",INDEX(Candidates!$A$1:$A$500,K528))</f>
        <v/>
      </c>
      <c r="B528" s="85" t="str">
        <f aca="false">IF(A528="","",INDEX(Candidates!$C$1:$C$500,K528))</f>
        <v/>
      </c>
      <c r="C528" s="85" t="str">
        <f aca="false">IF(A528="","",INDEX(Candidates!$D$1:$D$500,K528))</f>
        <v/>
      </c>
      <c r="D528" s="85" t="str">
        <f aca="false">IF(A528="","",L528)</f>
        <v/>
      </c>
      <c r="E528" s="85" t="str">
        <f aca="false">IF(A528="","",INDEX($O$2:$O$8,L528))</f>
        <v/>
      </c>
      <c r="F528" s="85" t="str">
        <f aca="false">IF(A528="","",IF(ISNUMBER(INDEX(Candidates!$A$1:$Z$500,K528,INDEX($P$2:$P$8,L528))),INDEX(Candidates!$A$1:$Z$500,K528,INDEX($P$2:$P$8,L528)),""))</f>
        <v/>
      </c>
      <c r="G528" s="85" t="str">
        <f aca="false">IF(A528="","",INDEX($Q$2:$Q$8,L528))</f>
        <v/>
      </c>
      <c r="H528" s="85" t="str">
        <f aca="false">IF(A528="","",IF(F528="","Not yet scored",IF(F528&gt;=G528,"Pass","Fail")))</f>
        <v/>
      </c>
      <c r="I528" s="85" t="str">
        <f aca="false">IF(A528="","",INDEX(Candidates!$B$1:$B$500,K528))</f>
        <v/>
      </c>
      <c r="K528" s="86" t="n">
        <f aca="false">INT((ROW()-2)/7)+2</f>
        <v>77</v>
      </c>
      <c r="L528" s="86" t="n">
        <f aca="false">MOD(ROW()-2,7)+1</f>
        <v>2</v>
      </c>
    </row>
    <row r="529" customFormat="false" ht="15" hidden="false" customHeight="false" outlineLevel="0" collapsed="false">
      <c r="A529" s="85" t="str">
        <f aca="false">IF(INDEX(Candidates!$A$1:$A$500,K529)="","",INDEX(Candidates!$A$1:$A$500,K529))</f>
        <v/>
      </c>
      <c r="B529" s="85" t="str">
        <f aca="false">IF(A529="","",INDEX(Candidates!$C$1:$C$500,K529))</f>
        <v/>
      </c>
      <c r="C529" s="85" t="str">
        <f aca="false">IF(A529="","",INDEX(Candidates!$D$1:$D$500,K529))</f>
        <v/>
      </c>
      <c r="D529" s="85" t="str">
        <f aca="false">IF(A529="","",L529)</f>
        <v/>
      </c>
      <c r="E529" s="85" t="str">
        <f aca="false">IF(A529="","",INDEX($O$2:$O$8,L529))</f>
        <v/>
      </c>
      <c r="F529" s="85" t="str">
        <f aca="false">IF(A529="","",IF(ISNUMBER(INDEX(Candidates!$A$1:$Z$500,K529,INDEX($P$2:$P$8,L529))),INDEX(Candidates!$A$1:$Z$500,K529,INDEX($P$2:$P$8,L529)),""))</f>
        <v/>
      </c>
      <c r="G529" s="85" t="str">
        <f aca="false">IF(A529="","",INDEX($Q$2:$Q$8,L529))</f>
        <v/>
      </c>
      <c r="H529" s="85" t="str">
        <f aca="false">IF(A529="","",IF(F529="","Not yet scored",IF(F529&gt;=G529,"Pass","Fail")))</f>
        <v/>
      </c>
      <c r="I529" s="85" t="str">
        <f aca="false">IF(A529="","",INDEX(Candidates!$B$1:$B$500,K529))</f>
        <v/>
      </c>
      <c r="K529" s="86" t="n">
        <f aca="false">INT((ROW()-2)/7)+2</f>
        <v>77</v>
      </c>
      <c r="L529" s="86" t="n">
        <f aca="false">MOD(ROW()-2,7)+1</f>
        <v>3</v>
      </c>
    </row>
    <row r="530" customFormat="false" ht="15" hidden="false" customHeight="false" outlineLevel="0" collapsed="false">
      <c r="A530" s="85" t="str">
        <f aca="false">IF(INDEX(Candidates!$A$1:$A$500,K530)="","",INDEX(Candidates!$A$1:$A$500,K530))</f>
        <v/>
      </c>
      <c r="B530" s="85" t="str">
        <f aca="false">IF(A530="","",INDEX(Candidates!$C$1:$C$500,K530))</f>
        <v/>
      </c>
      <c r="C530" s="85" t="str">
        <f aca="false">IF(A530="","",INDEX(Candidates!$D$1:$D$500,K530))</f>
        <v/>
      </c>
      <c r="D530" s="85" t="str">
        <f aca="false">IF(A530="","",L530)</f>
        <v/>
      </c>
      <c r="E530" s="85" t="str">
        <f aca="false">IF(A530="","",INDEX($O$2:$O$8,L530))</f>
        <v/>
      </c>
      <c r="F530" s="85" t="str">
        <f aca="false">IF(A530="","",IF(ISNUMBER(INDEX(Candidates!$A$1:$Z$500,K530,INDEX($P$2:$P$8,L530))),INDEX(Candidates!$A$1:$Z$500,K530,INDEX($P$2:$P$8,L530)),""))</f>
        <v/>
      </c>
      <c r="G530" s="85" t="str">
        <f aca="false">IF(A530="","",INDEX($Q$2:$Q$8,L530))</f>
        <v/>
      </c>
      <c r="H530" s="85" t="str">
        <f aca="false">IF(A530="","",IF(F530="","Not yet scored",IF(F530&gt;=G530,"Pass","Fail")))</f>
        <v/>
      </c>
      <c r="I530" s="85" t="str">
        <f aca="false">IF(A530="","",INDEX(Candidates!$B$1:$B$500,K530))</f>
        <v/>
      </c>
      <c r="K530" s="86" t="n">
        <f aca="false">INT((ROW()-2)/7)+2</f>
        <v>77</v>
      </c>
      <c r="L530" s="86" t="n">
        <f aca="false">MOD(ROW()-2,7)+1</f>
        <v>4</v>
      </c>
    </row>
    <row r="531" customFormat="false" ht="15" hidden="false" customHeight="false" outlineLevel="0" collapsed="false">
      <c r="A531" s="85" t="str">
        <f aca="false">IF(INDEX(Candidates!$A$1:$A$500,K531)="","",INDEX(Candidates!$A$1:$A$500,K531))</f>
        <v/>
      </c>
      <c r="B531" s="85" t="str">
        <f aca="false">IF(A531="","",INDEX(Candidates!$C$1:$C$500,K531))</f>
        <v/>
      </c>
      <c r="C531" s="85" t="str">
        <f aca="false">IF(A531="","",INDEX(Candidates!$D$1:$D$500,K531))</f>
        <v/>
      </c>
      <c r="D531" s="85" t="str">
        <f aca="false">IF(A531="","",L531)</f>
        <v/>
      </c>
      <c r="E531" s="85" t="str">
        <f aca="false">IF(A531="","",INDEX($O$2:$O$8,L531))</f>
        <v/>
      </c>
      <c r="F531" s="85" t="str">
        <f aca="false">IF(A531="","",IF(ISNUMBER(INDEX(Candidates!$A$1:$Z$500,K531,INDEX($P$2:$P$8,L531))),INDEX(Candidates!$A$1:$Z$500,K531,INDEX($P$2:$P$8,L531)),""))</f>
        <v/>
      </c>
      <c r="G531" s="85" t="str">
        <f aca="false">IF(A531="","",INDEX($Q$2:$Q$8,L531))</f>
        <v/>
      </c>
      <c r="H531" s="85" t="str">
        <f aca="false">IF(A531="","",IF(F531="","Not yet scored",IF(F531&gt;=G531,"Pass","Fail")))</f>
        <v/>
      </c>
      <c r="I531" s="85" t="str">
        <f aca="false">IF(A531="","",INDEX(Candidates!$B$1:$B$500,K531))</f>
        <v/>
      </c>
      <c r="K531" s="86" t="n">
        <f aca="false">INT((ROW()-2)/7)+2</f>
        <v>77</v>
      </c>
      <c r="L531" s="86" t="n">
        <f aca="false">MOD(ROW()-2,7)+1</f>
        <v>5</v>
      </c>
    </row>
    <row r="532" customFormat="false" ht="15" hidden="false" customHeight="false" outlineLevel="0" collapsed="false">
      <c r="A532" s="85" t="str">
        <f aca="false">IF(INDEX(Candidates!$A$1:$A$500,K532)="","",INDEX(Candidates!$A$1:$A$500,K532))</f>
        <v/>
      </c>
      <c r="B532" s="85" t="str">
        <f aca="false">IF(A532="","",INDEX(Candidates!$C$1:$C$500,K532))</f>
        <v/>
      </c>
      <c r="C532" s="85" t="str">
        <f aca="false">IF(A532="","",INDEX(Candidates!$D$1:$D$500,K532))</f>
        <v/>
      </c>
      <c r="D532" s="85" t="str">
        <f aca="false">IF(A532="","",L532)</f>
        <v/>
      </c>
      <c r="E532" s="85" t="str">
        <f aca="false">IF(A532="","",INDEX($O$2:$O$8,L532))</f>
        <v/>
      </c>
      <c r="F532" s="85" t="str">
        <f aca="false">IF(A532="","",IF(ISNUMBER(INDEX(Candidates!$A$1:$Z$500,K532,INDEX($P$2:$P$8,L532))),INDEX(Candidates!$A$1:$Z$500,K532,INDEX($P$2:$P$8,L532)),""))</f>
        <v/>
      </c>
      <c r="G532" s="85" t="str">
        <f aca="false">IF(A532="","",INDEX($Q$2:$Q$8,L532))</f>
        <v/>
      </c>
      <c r="H532" s="85" t="str">
        <f aca="false">IF(A532="","",IF(F532="","Not yet scored",IF(F532&gt;=G532,"Pass","Fail")))</f>
        <v/>
      </c>
      <c r="I532" s="85" t="str">
        <f aca="false">IF(A532="","",INDEX(Candidates!$B$1:$B$500,K532))</f>
        <v/>
      </c>
      <c r="K532" s="86" t="n">
        <f aca="false">INT((ROW()-2)/7)+2</f>
        <v>77</v>
      </c>
      <c r="L532" s="86" t="n">
        <f aca="false">MOD(ROW()-2,7)+1</f>
        <v>6</v>
      </c>
    </row>
    <row r="533" customFormat="false" ht="15" hidden="false" customHeight="false" outlineLevel="0" collapsed="false">
      <c r="A533" s="85" t="str">
        <f aca="false">IF(INDEX(Candidates!$A$1:$A$500,K533)="","",INDEX(Candidates!$A$1:$A$500,K533))</f>
        <v/>
      </c>
      <c r="B533" s="85" t="str">
        <f aca="false">IF(A533="","",INDEX(Candidates!$C$1:$C$500,K533))</f>
        <v/>
      </c>
      <c r="C533" s="85" t="str">
        <f aca="false">IF(A533="","",INDEX(Candidates!$D$1:$D$500,K533))</f>
        <v/>
      </c>
      <c r="D533" s="85" t="str">
        <f aca="false">IF(A533="","",L533)</f>
        <v/>
      </c>
      <c r="E533" s="85" t="str">
        <f aca="false">IF(A533="","",INDEX($O$2:$O$8,L533))</f>
        <v/>
      </c>
      <c r="F533" s="85" t="str">
        <f aca="false">IF(A533="","",IF(ISNUMBER(INDEX(Candidates!$A$1:$Z$500,K533,INDEX($P$2:$P$8,L533))),INDEX(Candidates!$A$1:$Z$500,K533,INDEX($P$2:$P$8,L533)),""))</f>
        <v/>
      </c>
      <c r="G533" s="85" t="str">
        <f aca="false">IF(A533="","",INDEX($Q$2:$Q$8,L533))</f>
        <v/>
      </c>
      <c r="H533" s="85" t="str">
        <f aca="false">IF(A533="","",IF(F533="","Not yet scored",IF(F533&gt;=G533,"Pass","Fail")))</f>
        <v/>
      </c>
      <c r="I533" s="85" t="str">
        <f aca="false">IF(A533="","",INDEX(Candidates!$B$1:$B$500,K533))</f>
        <v/>
      </c>
      <c r="K533" s="86" t="n">
        <f aca="false">INT((ROW()-2)/7)+2</f>
        <v>77</v>
      </c>
      <c r="L533" s="86" t="n">
        <f aca="false">MOD(ROW()-2,7)+1</f>
        <v>7</v>
      </c>
    </row>
    <row r="534" customFormat="false" ht="15" hidden="false" customHeight="false" outlineLevel="0" collapsed="false">
      <c r="A534" s="85" t="str">
        <f aca="false">IF(INDEX(Candidates!$A$1:$A$500,K534)="","",INDEX(Candidates!$A$1:$A$500,K534))</f>
        <v/>
      </c>
      <c r="B534" s="85" t="str">
        <f aca="false">IF(A534="","",INDEX(Candidates!$C$1:$C$500,K534))</f>
        <v/>
      </c>
      <c r="C534" s="85" t="str">
        <f aca="false">IF(A534="","",INDEX(Candidates!$D$1:$D$500,K534))</f>
        <v/>
      </c>
      <c r="D534" s="85" t="str">
        <f aca="false">IF(A534="","",L534)</f>
        <v/>
      </c>
      <c r="E534" s="85" t="str">
        <f aca="false">IF(A534="","",INDEX($O$2:$O$8,L534))</f>
        <v/>
      </c>
      <c r="F534" s="85" t="str">
        <f aca="false">IF(A534="","",IF(ISNUMBER(INDEX(Candidates!$A$1:$Z$500,K534,INDEX($P$2:$P$8,L534))),INDEX(Candidates!$A$1:$Z$500,K534,INDEX($P$2:$P$8,L534)),""))</f>
        <v/>
      </c>
      <c r="G534" s="85" t="str">
        <f aca="false">IF(A534="","",INDEX($Q$2:$Q$8,L534))</f>
        <v/>
      </c>
      <c r="H534" s="85" t="str">
        <f aca="false">IF(A534="","",IF(F534="","Not yet scored",IF(F534&gt;=G534,"Pass","Fail")))</f>
        <v/>
      </c>
      <c r="I534" s="85" t="str">
        <f aca="false">IF(A534="","",INDEX(Candidates!$B$1:$B$500,K534))</f>
        <v/>
      </c>
      <c r="K534" s="86" t="n">
        <f aca="false">INT((ROW()-2)/7)+2</f>
        <v>78</v>
      </c>
      <c r="L534" s="86" t="n">
        <f aca="false">MOD(ROW()-2,7)+1</f>
        <v>1</v>
      </c>
    </row>
    <row r="535" customFormat="false" ht="15" hidden="false" customHeight="false" outlineLevel="0" collapsed="false">
      <c r="A535" s="85" t="str">
        <f aca="false">IF(INDEX(Candidates!$A$1:$A$500,K535)="","",INDEX(Candidates!$A$1:$A$500,K535))</f>
        <v/>
      </c>
      <c r="B535" s="85" t="str">
        <f aca="false">IF(A535="","",INDEX(Candidates!$C$1:$C$500,K535))</f>
        <v/>
      </c>
      <c r="C535" s="85" t="str">
        <f aca="false">IF(A535="","",INDEX(Candidates!$D$1:$D$500,K535))</f>
        <v/>
      </c>
      <c r="D535" s="85" t="str">
        <f aca="false">IF(A535="","",L535)</f>
        <v/>
      </c>
      <c r="E535" s="85" t="str">
        <f aca="false">IF(A535="","",INDEX($O$2:$O$8,L535))</f>
        <v/>
      </c>
      <c r="F535" s="85" t="str">
        <f aca="false">IF(A535="","",IF(ISNUMBER(INDEX(Candidates!$A$1:$Z$500,K535,INDEX($P$2:$P$8,L535))),INDEX(Candidates!$A$1:$Z$500,K535,INDEX($P$2:$P$8,L535)),""))</f>
        <v/>
      </c>
      <c r="G535" s="85" t="str">
        <f aca="false">IF(A535="","",INDEX($Q$2:$Q$8,L535))</f>
        <v/>
      </c>
      <c r="H535" s="85" t="str">
        <f aca="false">IF(A535="","",IF(F535="","Not yet scored",IF(F535&gt;=G535,"Pass","Fail")))</f>
        <v/>
      </c>
      <c r="I535" s="85" t="str">
        <f aca="false">IF(A535="","",INDEX(Candidates!$B$1:$B$500,K535))</f>
        <v/>
      </c>
      <c r="K535" s="86" t="n">
        <f aca="false">INT((ROW()-2)/7)+2</f>
        <v>78</v>
      </c>
      <c r="L535" s="86" t="n">
        <f aca="false">MOD(ROW()-2,7)+1</f>
        <v>2</v>
      </c>
    </row>
    <row r="536" customFormat="false" ht="15" hidden="false" customHeight="false" outlineLevel="0" collapsed="false">
      <c r="A536" s="85" t="str">
        <f aca="false">IF(INDEX(Candidates!$A$1:$A$500,K536)="","",INDEX(Candidates!$A$1:$A$500,K536))</f>
        <v/>
      </c>
      <c r="B536" s="85" t="str">
        <f aca="false">IF(A536="","",INDEX(Candidates!$C$1:$C$500,K536))</f>
        <v/>
      </c>
      <c r="C536" s="85" t="str">
        <f aca="false">IF(A536="","",INDEX(Candidates!$D$1:$D$500,K536))</f>
        <v/>
      </c>
      <c r="D536" s="85" t="str">
        <f aca="false">IF(A536="","",L536)</f>
        <v/>
      </c>
      <c r="E536" s="85" t="str">
        <f aca="false">IF(A536="","",INDEX($O$2:$O$8,L536))</f>
        <v/>
      </c>
      <c r="F536" s="85" t="str">
        <f aca="false">IF(A536="","",IF(ISNUMBER(INDEX(Candidates!$A$1:$Z$500,K536,INDEX($P$2:$P$8,L536))),INDEX(Candidates!$A$1:$Z$500,K536,INDEX($P$2:$P$8,L536)),""))</f>
        <v/>
      </c>
      <c r="G536" s="85" t="str">
        <f aca="false">IF(A536="","",INDEX($Q$2:$Q$8,L536))</f>
        <v/>
      </c>
      <c r="H536" s="85" t="str">
        <f aca="false">IF(A536="","",IF(F536="","Not yet scored",IF(F536&gt;=G536,"Pass","Fail")))</f>
        <v/>
      </c>
      <c r="I536" s="85" t="str">
        <f aca="false">IF(A536="","",INDEX(Candidates!$B$1:$B$500,K536))</f>
        <v/>
      </c>
      <c r="K536" s="86" t="n">
        <f aca="false">INT((ROW()-2)/7)+2</f>
        <v>78</v>
      </c>
      <c r="L536" s="86" t="n">
        <f aca="false">MOD(ROW()-2,7)+1</f>
        <v>3</v>
      </c>
    </row>
    <row r="537" customFormat="false" ht="15" hidden="false" customHeight="false" outlineLevel="0" collapsed="false">
      <c r="A537" s="85" t="str">
        <f aca="false">IF(INDEX(Candidates!$A$1:$A$500,K537)="","",INDEX(Candidates!$A$1:$A$500,K537))</f>
        <v/>
      </c>
      <c r="B537" s="85" t="str">
        <f aca="false">IF(A537="","",INDEX(Candidates!$C$1:$C$500,K537))</f>
        <v/>
      </c>
      <c r="C537" s="85" t="str">
        <f aca="false">IF(A537="","",INDEX(Candidates!$D$1:$D$500,K537))</f>
        <v/>
      </c>
      <c r="D537" s="85" t="str">
        <f aca="false">IF(A537="","",L537)</f>
        <v/>
      </c>
      <c r="E537" s="85" t="str">
        <f aca="false">IF(A537="","",INDEX($O$2:$O$8,L537))</f>
        <v/>
      </c>
      <c r="F537" s="85" t="str">
        <f aca="false">IF(A537="","",IF(ISNUMBER(INDEX(Candidates!$A$1:$Z$500,K537,INDEX($P$2:$P$8,L537))),INDEX(Candidates!$A$1:$Z$500,K537,INDEX($P$2:$P$8,L537)),""))</f>
        <v/>
      </c>
      <c r="G537" s="85" t="str">
        <f aca="false">IF(A537="","",INDEX($Q$2:$Q$8,L537))</f>
        <v/>
      </c>
      <c r="H537" s="85" t="str">
        <f aca="false">IF(A537="","",IF(F537="","Not yet scored",IF(F537&gt;=G537,"Pass","Fail")))</f>
        <v/>
      </c>
      <c r="I537" s="85" t="str">
        <f aca="false">IF(A537="","",INDEX(Candidates!$B$1:$B$500,K537))</f>
        <v/>
      </c>
      <c r="K537" s="86" t="n">
        <f aca="false">INT((ROW()-2)/7)+2</f>
        <v>78</v>
      </c>
      <c r="L537" s="86" t="n">
        <f aca="false">MOD(ROW()-2,7)+1</f>
        <v>4</v>
      </c>
    </row>
    <row r="538" customFormat="false" ht="15" hidden="false" customHeight="false" outlineLevel="0" collapsed="false">
      <c r="A538" s="85" t="str">
        <f aca="false">IF(INDEX(Candidates!$A$1:$A$500,K538)="","",INDEX(Candidates!$A$1:$A$500,K538))</f>
        <v/>
      </c>
      <c r="B538" s="85" t="str">
        <f aca="false">IF(A538="","",INDEX(Candidates!$C$1:$C$500,K538))</f>
        <v/>
      </c>
      <c r="C538" s="85" t="str">
        <f aca="false">IF(A538="","",INDEX(Candidates!$D$1:$D$500,K538))</f>
        <v/>
      </c>
      <c r="D538" s="85" t="str">
        <f aca="false">IF(A538="","",L538)</f>
        <v/>
      </c>
      <c r="E538" s="85" t="str">
        <f aca="false">IF(A538="","",INDEX($O$2:$O$8,L538))</f>
        <v/>
      </c>
      <c r="F538" s="85" t="str">
        <f aca="false">IF(A538="","",IF(ISNUMBER(INDEX(Candidates!$A$1:$Z$500,K538,INDEX($P$2:$P$8,L538))),INDEX(Candidates!$A$1:$Z$500,K538,INDEX($P$2:$P$8,L538)),""))</f>
        <v/>
      </c>
      <c r="G538" s="85" t="str">
        <f aca="false">IF(A538="","",INDEX($Q$2:$Q$8,L538))</f>
        <v/>
      </c>
      <c r="H538" s="85" t="str">
        <f aca="false">IF(A538="","",IF(F538="","Not yet scored",IF(F538&gt;=G538,"Pass","Fail")))</f>
        <v/>
      </c>
      <c r="I538" s="85" t="str">
        <f aca="false">IF(A538="","",INDEX(Candidates!$B$1:$B$500,K538))</f>
        <v/>
      </c>
      <c r="K538" s="86" t="n">
        <f aca="false">INT((ROW()-2)/7)+2</f>
        <v>78</v>
      </c>
      <c r="L538" s="86" t="n">
        <f aca="false">MOD(ROW()-2,7)+1</f>
        <v>5</v>
      </c>
    </row>
    <row r="539" customFormat="false" ht="15" hidden="false" customHeight="false" outlineLevel="0" collapsed="false">
      <c r="A539" s="85" t="str">
        <f aca="false">IF(INDEX(Candidates!$A$1:$A$500,K539)="","",INDEX(Candidates!$A$1:$A$500,K539))</f>
        <v/>
      </c>
      <c r="B539" s="85" t="str">
        <f aca="false">IF(A539="","",INDEX(Candidates!$C$1:$C$500,K539))</f>
        <v/>
      </c>
      <c r="C539" s="85" t="str">
        <f aca="false">IF(A539="","",INDEX(Candidates!$D$1:$D$500,K539))</f>
        <v/>
      </c>
      <c r="D539" s="85" t="str">
        <f aca="false">IF(A539="","",L539)</f>
        <v/>
      </c>
      <c r="E539" s="85" t="str">
        <f aca="false">IF(A539="","",INDEX($O$2:$O$8,L539))</f>
        <v/>
      </c>
      <c r="F539" s="85" t="str">
        <f aca="false">IF(A539="","",IF(ISNUMBER(INDEX(Candidates!$A$1:$Z$500,K539,INDEX($P$2:$P$8,L539))),INDEX(Candidates!$A$1:$Z$500,K539,INDEX($P$2:$P$8,L539)),""))</f>
        <v/>
      </c>
      <c r="G539" s="85" t="str">
        <f aca="false">IF(A539="","",INDEX($Q$2:$Q$8,L539))</f>
        <v/>
      </c>
      <c r="H539" s="85" t="str">
        <f aca="false">IF(A539="","",IF(F539="","Not yet scored",IF(F539&gt;=G539,"Pass","Fail")))</f>
        <v/>
      </c>
      <c r="I539" s="85" t="str">
        <f aca="false">IF(A539="","",INDEX(Candidates!$B$1:$B$500,K539))</f>
        <v/>
      </c>
      <c r="K539" s="86" t="n">
        <f aca="false">INT((ROW()-2)/7)+2</f>
        <v>78</v>
      </c>
      <c r="L539" s="86" t="n">
        <f aca="false">MOD(ROW()-2,7)+1</f>
        <v>6</v>
      </c>
    </row>
    <row r="540" customFormat="false" ht="15" hidden="false" customHeight="false" outlineLevel="0" collapsed="false">
      <c r="A540" s="85" t="str">
        <f aca="false">IF(INDEX(Candidates!$A$1:$A$500,K540)="","",INDEX(Candidates!$A$1:$A$500,K540))</f>
        <v/>
      </c>
      <c r="B540" s="85" t="str">
        <f aca="false">IF(A540="","",INDEX(Candidates!$C$1:$C$500,K540))</f>
        <v/>
      </c>
      <c r="C540" s="85" t="str">
        <f aca="false">IF(A540="","",INDEX(Candidates!$D$1:$D$500,K540))</f>
        <v/>
      </c>
      <c r="D540" s="85" t="str">
        <f aca="false">IF(A540="","",L540)</f>
        <v/>
      </c>
      <c r="E540" s="85" t="str">
        <f aca="false">IF(A540="","",INDEX($O$2:$O$8,L540))</f>
        <v/>
      </c>
      <c r="F540" s="85" t="str">
        <f aca="false">IF(A540="","",IF(ISNUMBER(INDEX(Candidates!$A$1:$Z$500,K540,INDEX($P$2:$P$8,L540))),INDEX(Candidates!$A$1:$Z$500,K540,INDEX($P$2:$P$8,L540)),""))</f>
        <v/>
      </c>
      <c r="G540" s="85" t="str">
        <f aca="false">IF(A540="","",INDEX($Q$2:$Q$8,L540))</f>
        <v/>
      </c>
      <c r="H540" s="85" t="str">
        <f aca="false">IF(A540="","",IF(F540="","Not yet scored",IF(F540&gt;=G540,"Pass","Fail")))</f>
        <v/>
      </c>
      <c r="I540" s="85" t="str">
        <f aca="false">IF(A540="","",INDEX(Candidates!$B$1:$B$500,K540))</f>
        <v/>
      </c>
      <c r="K540" s="86" t="n">
        <f aca="false">INT((ROW()-2)/7)+2</f>
        <v>78</v>
      </c>
      <c r="L540" s="86" t="n">
        <f aca="false">MOD(ROW()-2,7)+1</f>
        <v>7</v>
      </c>
    </row>
    <row r="541" customFormat="false" ht="15" hidden="false" customHeight="false" outlineLevel="0" collapsed="false">
      <c r="A541" s="85" t="str">
        <f aca="false">IF(INDEX(Candidates!$A$1:$A$500,K541)="","",INDEX(Candidates!$A$1:$A$500,K541))</f>
        <v/>
      </c>
      <c r="B541" s="85" t="str">
        <f aca="false">IF(A541="","",INDEX(Candidates!$C$1:$C$500,K541))</f>
        <v/>
      </c>
      <c r="C541" s="85" t="str">
        <f aca="false">IF(A541="","",INDEX(Candidates!$D$1:$D$500,K541))</f>
        <v/>
      </c>
      <c r="D541" s="85" t="str">
        <f aca="false">IF(A541="","",L541)</f>
        <v/>
      </c>
      <c r="E541" s="85" t="str">
        <f aca="false">IF(A541="","",INDEX($O$2:$O$8,L541))</f>
        <v/>
      </c>
      <c r="F541" s="85" t="str">
        <f aca="false">IF(A541="","",IF(ISNUMBER(INDEX(Candidates!$A$1:$Z$500,K541,INDEX($P$2:$P$8,L541))),INDEX(Candidates!$A$1:$Z$500,K541,INDEX($P$2:$P$8,L541)),""))</f>
        <v/>
      </c>
      <c r="G541" s="85" t="str">
        <f aca="false">IF(A541="","",INDEX($Q$2:$Q$8,L541))</f>
        <v/>
      </c>
      <c r="H541" s="85" t="str">
        <f aca="false">IF(A541="","",IF(F541="","Not yet scored",IF(F541&gt;=G541,"Pass","Fail")))</f>
        <v/>
      </c>
      <c r="I541" s="85" t="str">
        <f aca="false">IF(A541="","",INDEX(Candidates!$B$1:$B$500,K541))</f>
        <v/>
      </c>
      <c r="K541" s="86" t="n">
        <f aca="false">INT((ROW()-2)/7)+2</f>
        <v>79</v>
      </c>
      <c r="L541" s="86" t="n">
        <f aca="false">MOD(ROW()-2,7)+1</f>
        <v>1</v>
      </c>
    </row>
    <row r="542" customFormat="false" ht="15" hidden="false" customHeight="false" outlineLevel="0" collapsed="false">
      <c r="A542" s="85" t="str">
        <f aca="false">IF(INDEX(Candidates!$A$1:$A$500,K542)="","",INDEX(Candidates!$A$1:$A$500,K542))</f>
        <v/>
      </c>
      <c r="B542" s="85" t="str">
        <f aca="false">IF(A542="","",INDEX(Candidates!$C$1:$C$500,K542))</f>
        <v/>
      </c>
      <c r="C542" s="85" t="str">
        <f aca="false">IF(A542="","",INDEX(Candidates!$D$1:$D$500,K542))</f>
        <v/>
      </c>
      <c r="D542" s="85" t="str">
        <f aca="false">IF(A542="","",L542)</f>
        <v/>
      </c>
      <c r="E542" s="85" t="str">
        <f aca="false">IF(A542="","",INDEX($O$2:$O$8,L542))</f>
        <v/>
      </c>
      <c r="F542" s="85" t="str">
        <f aca="false">IF(A542="","",IF(ISNUMBER(INDEX(Candidates!$A$1:$Z$500,K542,INDEX($P$2:$P$8,L542))),INDEX(Candidates!$A$1:$Z$500,K542,INDEX($P$2:$P$8,L542)),""))</f>
        <v/>
      </c>
      <c r="G542" s="85" t="str">
        <f aca="false">IF(A542="","",INDEX($Q$2:$Q$8,L542))</f>
        <v/>
      </c>
      <c r="H542" s="85" t="str">
        <f aca="false">IF(A542="","",IF(F542="","Not yet scored",IF(F542&gt;=G542,"Pass","Fail")))</f>
        <v/>
      </c>
      <c r="I542" s="85" t="str">
        <f aca="false">IF(A542="","",INDEX(Candidates!$B$1:$B$500,K542))</f>
        <v/>
      </c>
      <c r="K542" s="86" t="n">
        <f aca="false">INT((ROW()-2)/7)+2</f>
        <v>79</v>
      </c>
      <c r="L542" s="86" t="n">
        <f aca="false">MOD(ROW()-2,7)+1</f>
        <v>2</v>
      </c>
    </row>
    <row r="543" customFormat="false" ht="15" hidden="false" customHeight="false" outlineLevel="0" collapsed="false">
      <c r="A543" s="85" t="str">
        <f aca="false">IF(INDEX(Candidates!$A$1:$A$500,K543)="","",INDEX(Candidates!$A$1:$A$500,K543))</f>
        <v/>
      </c>
      <c r="B543" s="85" t="str">
        <f aca="false">IF(A543="","",INDEX(Candidates!$C$1:$C$500,K543))</f>
        <v/>
      </c>
      <c r="C543" s="85" t="str">
        <f aca="false">IF(A543="","",INDEX(Candidates!$D$1:$D$500,K543))</f>
        <v/>
      </c>
      <c r="D543" s="85" t="str">
        <f aca="false">IF(A543="","",L543)</f>
        <v/>
      </c>
      <c r="E543" s="85" t="str">
        <f aca="false">IF(A543="","",INDEX($O$2:$O$8,L543))</f>
        <v/>
      </c>
      <c r="F543" s="85" t="str">
        <f aca="false">IF(A543="","",IF(ISNUMBER(INDEX(Candidates!$A$1:$Z$500,K543,INDEX($P$2:$P$8,L543))),INDEX(Candidates!$A$1:$Z$500,K543,INDEX($P$2:$P$8,L543)),""))</f>
        <v/>
      </c>
      <c r="G543" s="85" t="str">
        <f aca="false">IF(A543="","",INDEX($Q$2:$Q$8,L543))</f>
        <v/>
      </c>
      <c r="H543" s="85" t="str">
        <f aca="false">IF(A543="","",IF(F543="","Not yet scored",IF(F543&gt;=G543,"Pass","Fail")))</f>
        <v/>
      </c>
      <c r="I543" s="85" t="str">
        <f aca="false">IF(A543="","",INDEX(Candidates!$B$1:$B$500,K543))</f>
        <v/>
      </c>
      <c r="K543" s="86" t="n">
        <f aca="false">INT((ROW()-2)/7)+2</f>
        <v>79</v>
      </c>
      <c r="L543" s="86" t="n">
        <f aca="false">MOD(ROW()-2,7)+1</f>
        <v>3</v>
      </c>
    </row>
    <row r="544" customFormat="false" ht="15" hidden="false" customHeight="false" outlineLevel="0" collapsed="false">
      <c r="A544" s="85" t="str">
        <f aca="false">IF(INDEX(Candidates!$A$1:$A$500,K544)="","",INDEX(Candidates!$A$1:$A$500,K544))</f>
        <v/>
      </c>
      <c r="B544" s="85" t="str">
        <f aca="false">IF(A544="","",INDEX(Candidates!$C$1:$C$500,K544))</f>
        <v/>
      </c>
      <c r="C544" s="85" t="str">
        <f aca="false">IF(A544="","",INDEX(Candidates!$D$1:$D$500,K544))</f>
        <v/>
      </c>
      <c r="D544" s="85" t="str">
        <f aca="false">IF(A544="","",L544)</f>
        <v/>
      </c>
      <c r="E544" s="85" t="str">
        <f aca="false">IF(A544="","",INDEX($O$2:$O$8,L544))</f>
        <v/>
      </c>
      <c r="F544" s="85" t="str">
        <f aca="false">IF(A544="","",IF(ISNUMBER(INDEX(Candidates!$A$1:$Z$500,K544,INDEX($P$2:$P$8,L544))),INDEX(Candidates!$A$1:$Z$500,K544,INDEX($P$2:$P$8,L544)),""))</f>
        <v/>
      </c>
      <c r="G544" s="85" t="str">
        <f aca="false">IF(A544="","",INDEX($Q$2:$Q$8,L544))</f>
        <v/>
      </c>
      <c r="H544" s="85" t="str">
        <f aca="false">IF(A544="","",IF(F544="","Not yet scored",IF(F544&gt;=G544,"Pass","Fail")))</f>
        <v/>
      </c>
      <c r="I544" s="85" t="str">
        <f aca="false">IF(A544="","",INDEX(Candidates!$B$1:$B$500,K544))</f>
        <v/>
      </c>
      <c r="K544" s="86" t="n">
        <f aca="false">INT((ROW()-2)/7)+2</f>
        <v>79</v>
      </c>
      <c r="L544" s="86" t="n">
        <f aca="false">MOD(ROW()-2,7)+1</f>
        <v>4</v>
      </c>
    </row>
    <row r="545" customFormat="false" ht="15" hidden="false" customHeight="false" outlineLevel="0" collapsed="false">
      <c r="A545" s="85" t="str">
        <f aca="false">IF(INDEX(Candidates!$A$1:$A$500,K545)="","",INDEX(Candidates!$A$1:$A$500,K545))</f>
        <v/>
      </c>
      <c r="B545" s="85" t="str">
        <f aca="false">IF(A545="","",INDEX(Candidates!$C$1:$C$500,K545))</f>
        <v/>
      </c>
      <c r="C545" s="85" t="str">
        <f aca="false">IF(A545="","",INDEX(Candidates!$D$1:$D$500,K545))</f>
        <v/>
      </c>
      <c r="D545" s="85" t="str">
        <f aca="false">IF(A545="","",L545)</f>
        <v/>
      </c>
      <c r="E545" s="85" t="str">
        <f aca="false">IF(A545="","",INDEX($O$2:$O$8,L545))</f>
        <v/>
      </c>
      <c r="F545" s="85" t="str">
        <f aca="false">IF(A545="","",IF(ISNUMBER(INDEX(Candidates!$A$1:$Z$500,K545,INDEX($P$2:$P$8,L545))),INDEX(Candidates!$A$1:$Z$500,K545,INDEX($P$2:$P$8,L545)),""))</f>
        <v/>
      </c>
      <c r="G545" s="85" t="str">
        <f aca="false">IF(A545="","",INDEX($Q$2:$Q$8,L545))</f>
        <v/>
      </c>
      <c r="H545" s="85" t="str">
        <f aca="false">IF(A545="","",IF(F545="","Not yet scored",IF(F545&gt;=G545,"Pass","Fail")))</f>
        <v/>
      </c>
      <c r="I545" s="85" t="str">
        <f aca="false">IF(A545="","",INDEX(Candidates!$B$1:$B$500,K545))</f>
        <v/>
      </c>
      <c r="K545" s="86" t="n">
        <f aca="false">INT((ROW()-2)/7)+2</f>
        <v>79</v>
      </c>
      <c r="L545" s="86" t="n">
        <f aca="false">MOD(ROW()-2,7)+1</f>
        <v>5</v>
      </c>
    </row>
    <row r="546" customFormat="false" ht="15" hidden="false" customHeight="false" outlineLevel="0" collapsed="false">
      <c r="A546" s="85" t="str">
        <f aca="false">IF(INDEX(Candidates!$A$1:$A$500,K546)="","",INDEX(Candidates!$A$1:$A$500,K546))</f>
        <v/>
      </c>
      <c r="B546" s="85" t="str">
        <f aca="false">IF(A546="","",INDEX(Candidates!$C$1:$C$500,K546))</f>
        <v/>
      </c>
      <c r="C546" s="85" t="str">
        <f aca="false">IF(A546="","",INDEX(Candidates!$D$1:$D$500,K546))</f>
        <v/>
      </c>
      <c r="D546" s="85" t="str">
        <f aca="false">IF(A546="","",L546)</f>
        <v/>
      </c>
      <c r="E546" s="85" t="str">
        <f aca="false">IF(A546="","",INDEX($O$2:$O$8,L546))</f>
        <v/>
      </c>
      <c r="F546" s="85" t="str">
        <f aca="false">IF(A546="","",IF(ISNUMBER(INDEX(Candidates!$A$1:$Z$500,K546,INDEX($P$2:$P$8,L546))),INDEX(Candidates!$A$1:$Z$500,K546,INDEX($P$2:$P$8,L546)),""))</f>
        <v/>
      </c>
      <c r="G546" s="85" t="str">
        <f aca="false">IF(A546="","",INDEX($Q$2:$Q$8,L546))</f>
        <v/>
      </c>
      <c r="H546" s="85" t="str">
        <f aca="false">IF(A546="","",IF(F546="","Not yet scored",IF(F546&gt;=G546,"Pass","Fail")))</f>
        <v/>
      </c>
      <c r="I546" s="85" t="str">
        <f aca="false">IF(A546="","",INDEX(Candidates!$B$1:$B$500,K546))</f>
        <v/>
      </c>
      <c r="K546" s="86" t="n">
        <f aca="false">INT((ROW()-2)/7)+2</f>
        <v>79</v>
      </c>
      <c r="L546" s="86" t="n">
        <f aca="false">MOD(ROW()-2,7)+1</f>
        <v>6</v>
      </c>
    </row>
    <row r="547" customFormat="false" ht="15" hidden="false" customHeight="false" outlineLevel="0" collapsed="false">
      <c r="A547" s="85" t="str">
        <f aca="false">IF(INDEX(Candidates!$A$1:$A$500,K547)="","",INDEX(Candidates!$A$1:$A$500,K547))</f>
        <v/>
      </c>
      <c r="B547" s="85" t="str">
        <f aca="false">IF(A547="","",INDEX(Candidates!$C$1:$C$500,K547))</f>
        <v/>
      </c>
      <c r="C547" s="85" t="str">
        <f aca="false">IF(A547="","",INDEX(Candidates!$D$1:$D$500,K547))</f>
        <v/>
      </c>
      <c r="D547" s="85" t="str">
        <f aca="false">IF(A547="","",L547)</f>
        <v/>
      </c>
      <c r="E547" s="85" t="str">
        <f aca="false">IF(A547="","",INDEX($O$2:$O$8,L547))</f>
        <v/>
      </c>
      <c r="F547" s="85" t="str">
        <f aca="false">IF(A547="","",IF(ISNUMBER(INDEX(Candidates!$A$1:$Z$500,K547,INDEX($P$2:$P$8,L547))),INDEX(Candidates!$A$1:$Z$500,K547,INDEX($P$2:$P$8,L547)),""))</f>
        <v/>
      </c>
      <c r="G547" s="85" t="str">
        <f aca="false">IF(A547="","",INDEX($Q$2:$Q$8,L547))</f>
        <v/>
      </c>
      <c r="H547" s="85" t="str">
        <f aca="false">IF(A547="","",IF(F547="","Not yet scored",IF(F547&gt;=G547,"Pass","Fail")))</f>
        <v/>
      </c>
      <c r="I547" s="85" t="str">
        <f aca="false">IF(A547="","",INDEX(Candidates!$B$1:$B$500,K547))</f>
        <v/>
      </c>
      <c r="K547" s="86" t="n">
        <f aca="false">INT((ROW()-2)/7)+2</f>
        <v>79</v>
      </c>
      <c r="L547" s="86" t="n">
        <f aca="false">MOD(ROW()-2,7)+1</f>
        <v>7</v>
      </c>
    </row>
    <row r="548" customFormat="false" ht="15" hidden="false" customHeight="false" outlineLevel="0" collapsed="false">
      <c r="A548" s="85" t="str">
        <f aca="false">IF(INDEX(Candidates!$A$1:$A$500,K548)="","",INDEX(Candidates!$A$1:$A$500,K548))</f>
        <v/>
      </c>
      <c r="B548" s="85" t="str">
        <f aca="false">IF(A548="","",INDEX(Candidates!$C$1:$C$500,K548))</f>
        <v/>
      </c>
      <c r="C548" s="85" t="str">
        <f aca="false">IF(A548="","",INDEX(Candidates!$D$1:$D$500,K548))</f>
        <v/>
      </c>
      <c r="D548" s="85" t="str">
        <f aca="false">IF(A548="","",L548)</f>
        <v/>
      </c>
      <c r="E548" s="85" t="str">
        <f aca="false">IF(A548="","",INDEX($O$2:$O$8,L548))</f>
        <v/>
      </c>
      <c r="F548" s="85" t="str">
        <f aca="false">IF(A548="","",IF(ISNUMBER(INDEX(Candidates!$A$1:$Z$500,K548,INDEX($P$2:$P$8,L548))),INDEX(Candidates!$A$1:$Z$500,K548,INDEX($P$2:$P$8,L548)),""))</f>
        <v/>
      </c>
      <c r="G548" s="85" t="str">
        <f aca="false">IF(A548="","",INDEX($Q$2:$Q$8,L548))</f>
        <v/>
      </c>
      <c r="H548" s="85" t="str">
        <f aca="false">IF(A548="","",IF(F548="","Not yet scored",IF(F548&gt;=G548,"Pass","Fail")))</f>
        <v/>
      </c>
      <c r="I548" s="85" t="str">
        <f aca="false">IF(A548="","",INDEX(Candidates!$B$1:$B$500,K548))</f>
        <v/>
      </c>
      <c r="K548" s="86" t="n">
        <f aca="false">INT((ROW()-2)/7)+2</f>
        <v>80</v>
      </c>
      <c r="L548" s="86" t="n">
        <f aca="false">MOD(ROW()-2,7)+1</f>
        <v>1</v>
      </c>
    </row>
    <row r="549" customFormat="false" ht="15" hidden="false" customHeight="false" outlineLevel="0" collapsed="false">
      <c r="A549" s="85" t="str">
        <f aca="false">IF(INDEX(Candidates!$A$1:$A$500,K549)="","",INDEX(Candidates!$A$1:$A$500,K549))</f>
        <v/>
      </c>
      <c r="B549" s="85" t="str">
        <f aca="false">IF(A549="","",INDEX(Candidates!$C$1:$C$500,K549))</f>
        <v/>
      </c>
      <c r="C549" s="85" t="str">
        <f aca="false">IF(A549="","",INDEX(Candidates!$D$1:$D$500,K549))</f>
        <v/>
      </c>
      <c r="D549" s="85" t="str">
        <f aca="false">IF(A549="","",L549)</f>
        <v/>
      </c>
      <c r="E549" s="85" t="str">
        <f aca="false">IF(A549="","",INDEX($O$2:$O$8,L549))</f>
        <v/>
      </c>
      <c r="F549" s="85" t="str">
        <f aca="false">IF(A549="","",IF(ISNUMBER(INDEX(Candidates!$A$1:$Z$500,K549,INDEX($P$2:$P$8,L549))),INDEX(Candidates!$A$1:$Z$500,K549,INDEX($P$2:$P$8,L549)),""))</f>
        <v/>
      </c>
      <c r="G549" s="85" t="str">
        <f aca="false">IF(A549="","",INDEX($Q$2:$Q$8,L549))</f>
        <v/>
      </c>
      <c r="H549" s="85" t="str">
        <f aca="false">IF(A549="","",IF(F549="","Not yet scored",IF(F549&gt;=G549,"Pass","Fail")))</f>
        <v/>
      </c>
      <c r="I549" s="85" t="str">
        <f aca="false">IF(A549="","",INDEX(Candidates!$B$1:$B$500,K549))</f>
        <v/>
      </c>
      <c r="K549" s="86" t="n">
        <f aca="false">INT((ROW()-2)/7)+2</f>
        <v>80</v>
      </c>
      <c r="L549" s="86" t="n">
        <f aca="false">MOD(ROW()-2,7)+1</f>
        <v>2</v>
      </c>
    </row>
    <row r="550" customFormat="false" ht="15" hidden="false" customHeight="false" outlineLevel="0" collapsed="false">
      <c r="A550" s="85" t="str">
        <f aca="false">IF(INDEX(Candidates!$A$1:$A$500,K550)="","",INDEX(Candidates!$A$1:$A$500,K550))</f>
        <v/>
      </c>
      <c r="B550" s="85" t="str">
        <f aca="false">IF(A550="","",INDEX(Candidates!$C$1:$C$500,K550))</f>
        <v/>
      </c>
      <c r="C550" s="85" t="str">
        <f aca="false">IF(A550="","",INDEX(Candidates!$D$1:$D$500,K550))</f>
        <v/>
      </c>
      <c r="D550" s="85" t="str">
        <f aca="false">IF(A550="","",L550)</f>
        <v/>
      </c>
      <c r="E550" s="85" t="str">
        <f aca="false">IF(A550="","",INDEX($O$2:$O$8,L550))</f>
        <v/>
      </c>
      <c r="F550" s="85" t="str">
        <f aca="false">IF(A550="","",IF(ISNUMBER(INDEX(Candidates!$A$1:$Z$500,K550,INDEX($P$2:$P$8,L550))),INDEX(Candidates!$A$1:$Z$500,K550,INDEX($P$2:$P$8,L550)),""))</f>
        <v/>
      </c>
      <c r="G550" s="85" t="str">
        <f aca="false">IF(A550="","",INDEX($Q$2:$Q$8,L550))</f>
        <v/>
      </c>
      <c r="H550" s="85" t="str">
        <f aca="false">IF(A550="","",IF(F550="","Not yet scored",IF(F550&gt;=G550,"Pass","Fail")))</f>
        <v/>
      </c>
      <c r="I550" s="85" t="str">
        <f aca="false">IF(A550="","",INDEX(Candidates!$B$1:$B$500,K550))</f>
        <v/>
      </c>
      <c r="K550" s="86" t="n">
        <f aca="false">INT((ROW()-2)/7)+2</f>
        <v>80</v>
      </c>
      <c r="L550" s="86" t="n">
        <f aca="false">MOD(ROW()-2,7)+1</f>
        <v>3</v>
      </c>
    </row>
    <row r="551" customFormat="false" ht="15" hidden="false" customHeight="false" outlineLevel="0" collapsed="false">
      <c r="A551" s="85" t="str">
        <f aca="false">IF(INDEX(Candidates!$A$1:$A$500,K551)="","",INDEX(Candidates!$A$1:$A$500,K551))</f>
        <v/>
      </c>
      <c r="B551" s="85" t="str">
        <f aca="false">IF(A551="","",INDEX(Candidates!$C$1:$C$500,K551))</f>
        <v/>
      </c>
      <c r="C551" s="85" t="str">
        <f aca="false">IF(A551="","",INDEX(Candidates!$D$1:$D$500,K551))</f>
        <v/>
      </c>
      <c r="D551" s="85" t="str">
        <f aca="false">IF(A551="","",L551)</f>
        <v/>
      </c>
      <c r="E551" s="85" t="str">
        <f aca="false">IF(A551="","",INDEX($O$2:$O$8,L551))</f>
        <v/>
      </c>
      <c r="F551" s="85" t="str">
        <f aca="false">IF(A551="","",IF(ISNUMBER(INDEX(Candidates!$A$1:$Z$500,K551,INDEX($P$2:$P$8,L551))),INDEX(Candidates!$A$1:$Z$500,K551,INDEX($P$2:$P$8,L551)),""))</f>
        <v/>
      </c>
      <c r="G551" s="85" t="str">
        <f aca="false">IF(A551="","",INDEX($Q$2:$Q$8,L551))</f>
        <v/>
      </c>
      <c r="H551" s="85" t="str">
        <f aca="false">IF(A551="","",IF(F551="","Not yet scored",IF(F551&gt;=G551,"Pass","Fail")))</f>
        <v/>
      </c>
      <c r="I551" s="85" t="str">
        <f aca="false">IF(A551="","",INDEX(Candidates!$B$1:$B$500,K551))</f>
        <v/>
      </c>
      <c r="K551" s="86" t="n">
        <f aca="false">INT((ROW()-2)/7)+2</f>
        <v>80</v>
      </c>
      <c r="L551" s="86" t="n">
        <f aca="false">MOD(ROW()-2,7)+1</f>
        <v>4</v>
      </c>
    </row>
    <row r="552" customFormat="false" ht="15" hidden="false" customHeight="false" outlineLevel="0" collapsed="false">
      <c r="A552" s="85" t="str">
        <f aca="false">IF(INDEX(Candidates!$A$1:$A$500,K552)="","",INDEX(Candidates!$A$1:$A$500,K552))</f>
        <v/>
      </c>
      <c r="B552" s="85" t="str">
        <f aca="false">IF(A552="","",INDEX(Candidates!$C$1:$C$500,K552))</f>
        <v/>
      </c>
      <c r="C552" s="85" t="str">
        <f aca="false">IF(A552="","",INDEX(Candidates!$D$1:$D$500,K552))</f>
        <v/>
      </c>
      <c r="D552" s="85" t="str">
        <f aca="false">IF(A552="","",L552)</f>
        <v/>
      </c>
      <c r="E552" s="85" t="str">
        <f aca="false">IF(A552="","",INDEX($O$2:$O$8,L552))</f>
        <v/>
      </c>
      <c r="F552" s="85" t="str">
        <f aca="false">IF(A552="","",IF(ISNUMBER(INDEX(Candidates!$A$1:$Z$500,K552,INDEX($P$2:$P$8,L552))),INDEX(Candidates!$A$1:$Z$500,K552,INDEX($P$2:$P$8,L552)),""))</f>
        <v/>
      </c>
      <c r="G552" s="85" t="str">
        <f aca="false">IF(A552="","",INDEX($Q$2:$Q$8,L552))</f>
        <v/>
      </c>
      <c r="H552" s="85" t="str">
        <f aca="false">IF(A552="","",IF(F552="","Not yet scored",IF(F552&gt;=G552,"Pass","Fail")))</f>
        <v/>
      </c>
      <c r="I552" s="85" t="str">
        <f aca="false">IF(A552="","",INDEX(Candidates!$B$1:$B$500,K552))</f>
        <v/>
      </c>
      <c r="K552" s="86" t="n">
        <f aca="false">INT((ROW()-2)/7)+2</f>
        <v>80</v>
      </c>
      <c r="L552" s="86" t="n">
        <f aca="false">MOD(ROW()-2,7)+1</f>
        <v>5</v>
      </c>
    </row>
    <row r="553" customFormat="false" ht="15" hidden="false" customHeight="false" outlineLevel="0" collapsed="false">
      <c r="A553" s="85" t="str">
        <f aca="false">IF(INDEX(Candidates!$A$1:$A$500,K553)="","",INDEX(Candidates!$A$1:$A$500,K553))</f>
        <v/>
      </c>
      <c r="B553" s="85" t="str">
        <f aca="false">IF(A553="","",INDEX(Candidates!$C$1:$C$500,K553))</f>
        <v/>
      </c>
      <c r="C553" s="85" t="str">
        <f aca="false">IF(A553="","",INDEX(Candidates!$D$1:$D$500,K553))</f>
        <v/>
      </c>
      <c r="D553" s="85" t="str">
        <f aca="false">IF(A553="","",L553)</f>
        <v/>
      </c>
      <c r="E553" s="85" t="str">
        <f aca="false">IF(A553="","",INDEX($O$2:$O$8,L553))</f>
        <v/>
      </c>
      <c r="F553" s="85" t="str">
        <f aca="false">IF(A553="","",IF(ISNUMBER(INDEX(Candidates!$A$1:$Z$500,K553,INDEX($P$2:$P$8,L553))),INDEX(Candidates!$A$1:$Z$500,K553,INDEX($P$2:$P$8,L553)),""))</f>
        <v/>
      </c>
      <c r="G553" s="85" t="str">
        <f aca="false">IF(A553="","",INDEX($Q$2:$Q$8,L553))</f>
        <v/>
      </c>
      <c r="H553" s="85" t="str">
        <f aca="false">IF(A553="","",IF(F553="","Not yet scored",IF(F553&gt;=G553,"Pass","Fail")))</f>
        <v/>
      </c>
      <c r="I553" s="85" t="str">
        <f aca="false">IF(A553="","",INDEX(Candidates!$B$1:$B$500,K553))</f>
        <v/>
      </c>
      <c r="K553" s="86" t="n">
        <f aca="false">INT((ROW()-2)/7)+2</f>
        <v>80</v>
      </c>
      <c r="L553" s="86" t="n">
        <f aca="false">MOD(ROW()-2,7)+1</f>
        <v>6</v>
      </c>
    </row>
    <row r="554" customFormat="false" ht="15" hidden="false" customHeight="false" outlineLevel="0" collapsed="false">
      <c r="A554" s="85" t="str">
        <f aca="false">IF(INDEX(Candidates!$A$1:$A$500,K554)="","",INDEX(Candidates!$A$1:$A$500,K554))</f>
        <v/>
      </c>
      <c r="B554" s="85" t="str">
        <f aca="false">IF(A554="","",INDEX(Candidates!$C$1:$C$500,K554))</f>
        <v/>
      </c>
      <c r="C554" s="85" t="str">
        <f aca="false">IF(A554="","",INDEX(Candidates!$D$1:$D$500,K554))</f>
        <v/>
      </c>
      <c r="D554" s="85" t="str">
        <f aca="false">IF(A554="","",L554)</f>
        <v/>
      </c>
      <c r="E554" s="85" t="str">
        <f aca="false">IF(A554="","",INDEX($O$2:$O$8,L554))</f>
        <v/>
      </c>
      <c r="F554" s="85" t="str">
        <f aca="false">IF(A554="","",IF(ISNUMBER(INDEX(Candidates!$A$1:$Z$500,K554,INDEX($P$2:$P$8,L554))),INDEX(Candidates!$A$1:$Z$500,K554,INDEX($P$2:$P$8,L554)),""))</f>
        <v/>
      </c>
      <c r="G554" s="85" t="str">
        <f aca="false">IF(A554="","",INDEX($Q$2:$Q$8,L554))</f>
        <v/>
      </c>
      <c r="H554" s="85" t="str">
        <f aca="false">IF(A554="","",IF(F554="","Not yet scored",IF(F554&gt;=G554,"Pass","Fail")))</f>
        <v/>
      </c>
      <c r="I554" s="85" t="str">
        <f aca="false">IF(A554="","",INDEX(Candidates!$B$1:$B$500,K554))</f>
        <v/>
      </c>
      <c r="K554" s="86" t="n">
        <f aca="false">INT((ROW()-2)/7)+2</f>
        <v>80</v>
      </c>
      <c r="L554" s="86" t="n">
        <f aca="false">MOD(ROW()-2,7)+1</f>
        <v>7</v>
      </c>
    </row>
    <row r="555" customFormat="false" ht="15" hidden="false" customHeight="false" outlineLevel="0" collapsed="false">
      <c r="A555" s="85" t="str">
        <f aca="false">IF(INDEX(Candidates!$A$1:$A$500,K555)="","",INDEX(Candidates!$A$1:$A$500,K555))</f>
        <v/>
      </c>
      <c r="B555" s="85" t="str">
        <f aca="false">IF(A555="","",INDEX(Candidates!$C$1:$C$500,K555))</f>
        <v/>
      </c>
      <c r="C555" s="85" t="str">
        <f aca="false">IF(A555="","",INDEX(Candidates!$D$1:$D$500,K555))</f>
        <v/>
      </c>
      <c r="D555" s="85" t="str">
        <f aca="false">IF(A555="","",L555)</f>
        <v/>
      </c>
      <c r="E555" s="85" t="str">
        <f aca="false">IF(A555="","",INDEX($O$2:$O$8,L555))</f>
        <v/>
      </c>
      <c r="F555" s="85" t="str">
        <f aca="false">IF(A555="","",IF(ISNUMBER(INDEX(Candidates!$A$1:$Z$500,K555,INDEX($P$2:$P$8,L555))),INDEX(Candidates!$A$1:$Z$500,K555,INDEX($P$2:$P$8,L555)),""))</f>
        <v/>
      </c>
      <c r="G555" s="85" t="str">
        <f aca="false">IF(A555="","",INDEX($Q$2:$Q$8,L555))</f>
        <v/>
      </c>
      <c r="H555" s="85" t="str">
        <f aca="false">IF(A555="","",IF(F555="","Not yet scored",IF(F555&gt;=G555,"Pass","Fail")))</f>
        <v/>
      </c>
      <c r="I555" s="85" t="str">
        <f aca="false">IF(A555="","",INDEX(Candidates!$B$1:$B$500,K555))</f>
        <v/>
      </c>
      <c r="K555" s="86" t="n">
        <f aca="false">INT((ROW()-2)/7)+2</f>
        <v>81</v>
      </c>
      <c r="L555" s="86" t="n">
        <f aca="false">MOD(ROW()-2,7)+1</f>
        <v>1</v>
      </c>
    </row>
    <row r="556" customFormat="false" ht="15" hidden="false" customHeight="false" outlineLevel="0" collapsed="false">
      <c r="A556" s="85" t="str">
        <f aca="false">IF(INDEX(Candidates!$A$1:$A$500,K556)="","",INDEX(Candidates!$A$1:$A$500,K556))</f>
        <v/>
      </c>
      <c r="B556" s="85" t="str">
        <f aca="false">IF(A556="","",INDEX(Candidates!$C$1:$C$500,K556))</f>
        <v/>
      </c>
      <c r="C556" s="85" t="str">
        <f aca="false">IF(A556="","",INDEX(Candidates!$D$1:$D$500,K556))</f>
        <v/>
      </c>
      <c r="D556" s="85" t="str">
        <f aca="false">IF(A556="","",L556)</f>
        <v/>
      </c>
      <c r="E556" s="85" t="str">
        <f aca="false">IF(A556="","",INDEX($O$2:$O$8,L556))</f>
        <v/>
      </c>
      <c r="F556" s="85" t="str">
        <f aca="false">IF(A556="","",IF(ISNUMBER(INDEX(Candidates!$A$1:$Z$500,K556,INDEX($P$2:$P$8,L556))),INDEX(Candidates!$A$1:$Z$500,K556,INDEX($P$2:$P$8,L556)),""))</f>
        <v/>
      </c>
      <c r="G556" s="85" t="str">
        <f aca="false">IF(A556="","",INDEX($Q$2:$Q$8,L556))</f>
        <v/>
      </c>
      <c r="H556" s="85" t="str">
        <f aca="false">IF(A556="","",IF(F556="","Not yet scored",IF(F556&gt;=G556,"Pass","Fail")))</f>
        <v/>
      </c>
      <c r="I556" s="85" t="str">
        <f aca="false">IF(A556="","",INDEX(Candidates!$B$1:$B$500,K556))</f>
        <v/>
      </c>
      <c r="K556" s="86" t="n">
        <f aca="false">INT((ROW()-2)/7)+2</f>
        <v>81</v>
      </c>
      <c r="L556" s="86" t="n">
        <f aca="false">MOD(ROW()-2,7)+1</f>
        <v>2</v>
      </c>
    </row>
    <row r="557" customFormat="false" ht="15" hidden="false" customHeight="false" outlineLevel="0" collapsed="false">
      <c r="A557" s="85" t="str">
        <f aca="false">IF(INDEX(Candidates!$A$1:$A$500,K557)="","",INDEX(Candidates!$A$1:$A$500,K557))</f>
        <v/>
      </c>
      <c r="B557" s="85" t="str">
        <f aca="false">IF(A557="","",INDEX(Candidates!$C$1:$C$500,K557))</f>
        <v/>
      </c>
      <c r="C557" s="85" t="str">
        <f aca="false">IF(A557="","",INDEX(Candidates!$D$1:$D$500,K557))</f>
        <v/>
      </c>
      <c r="D557" s="85" t="str">
        <f aca="false">IF(A557="","",L557)</f>
        <v/>
      </c>
      <c r="E557" s="85" t="str">
        <f aca="false">IF(A557="","",INDEX($O$2:$O$8,L557))</f>
        <v/>
      </c>
      <c r="F557" s="85" t="str">
        <f aca="false">IF(A557="","",IF(ISNUMBER(INDEX(Candidates!$A$1:$Z$500,K557,INDEX($P$2:$P$8,L557))),INDEX(Candidates!$A$1:$Z$500,K557,INDEX($P$2:$P$8,L557)),""))</f>
        <v/>
      </c>
      <c r="G557" s="85" t="str">
        <f aca="false">IF(A557="","",INDEX($Q$2:$Q$8,L557))</f>
        <v/>
      </c>
      <c r="H557" s="85" t="str">
        <f aca="false">IF(A557="","",IF(F557="","Not yet scored",IF(F557&gt;=G557,"Pass","Fail")))</f>
        <v/>
      </c>
      <c r="I557" s="85" t="str">
        <f aca="false">IF(A557="","",INDEX(Candidates!$B$1:$B$500,K557))</f>
        <v/>
      </c>
      <c r="K557" s="86" t="n">
        <f aca="false">INT((ROW()-2)/7)+2</f>
        <v>81</v>
      </c>
      <c r="L557" s="86" t="n">
        <f aca="false">MOD(ROW()-2,7)+1</f>
        <v>3</v>
      </c>
    </row>
    <row r="558" customFormat="false" ht="15" hidden="false" customHeight="false" outlineLevel="0" collapsed="false">
      <c r="A558" s="85" t="str">
        <f aca="false">IF(INDEX(Candidates!$A$1:$A$500,K558)="","",INDEX(Candidates!$A$1:$A$500,K558))</f>
        <v/>
      </c>
      <c r="B558" s="85" t="str">
        <f aca="false">IF(A558="","",INDEX(Candidates!$C$1:$C$500,K558))</f>
        <v/>
      </c>
      <c r="C558" s="85" t="str">
        <f aca="false">IF(A558="","",INDEX(Candidates!$D$1:$D$500,K558))</f>
        <v/>
      </c>
      <c r="D558" s="85" t="str">
        <f aca="false">IF(A558="","",L558)</f>
        <v/>
      </c>
      <c r="E558" s="85" t="str">
        <f aca="false">IF(A558="","",INDEX($O$2:$O$8,L558))</f>
        <v/>
      </c>
      <c r="F558" s="85" t="str">
        <f aca="false">IF(A558="","",IF(ISNUMBER(INDEX(Candidates!$A$1:$Z$500,K558,INDEX($P$2:$P$8,L558))),INDEX(Candidates!$A$1:$Z$500,K558,INDEX($P$2:$P$8,L558)),""))</f>
        <v/>
      </c>
      <c r="G558" s="85" t="str">
        <f aca="false">IF(A558="","",INDEX($Q$2:$Q$8,L558))</f>
        <v/>
      </c>
      <c r="H558" s="85" t="str">
        <f aca="false">IF(A558="","",IF(F558="","Not yet scored",IF(F558&gt;=G558,"Pass","Fail")))</f>
        <v/>
      </c>
      <c r="I558" s="85" t="str">
        <f aca="false">IF(A558="","",INDEX(Candidates!$B$1:$B$500,K558))</f>
        <v/>
      </c>
      <c r="K558" s="86" t="n">
        <f aca="false">INT((ROW()-2)/7)+2</f>
        <v>81</v>
      </c>
      <c r="L558" s="86" t="n">
        <f aca="false">MOD(ROW()-2,7)+1</f>
        <v>4</v>
      </c>
    </row>
    <row r="559" customFormat="false" ht="15" hidden="false" customHeight="false" outlineLevel="0" collapsed="false">
      <c r="A559" s="85" t="str">
        <f aca="false">IF(INDEX(Candidates!$A$1:$A$500,K559)="","",INDEX(Candidates!$A$1:$A$500,K559))</f>
        <v/>
      </c>
      <c r="B559" s="85" t="str">
        <f aca="false">IF(A559="","",INDEX(Candidates!$C$1:$C$500,K559))</f>
        <v/>
      </c>
      <c r="C559" s="85" t="str">
        <f aca="false">IF(A559="","",INDEX(Candidates!$D$1:$D$500,K559))</f>
        <v/>
      </c>
      <c r="D559" s="85" t="str">
        <f aca="false">IF(A559="","",L559)</f>
        <v/>
      </c>
      <c r="E559" s="85" t="str">
        <f aca="false">IF(A559="","",INDEX($O$2:$O$8,L559))</f>
        <v/>
      </c>
      <c r="F559" s="85" t="str">
        <f aca="false">IF(A559="","",IF(ISNUMBER(INDEX(Candidates!$A$1:$Z$500,K559,INDEX($P$2:$P$8,L559))),INDEX(Candidates!$A$1:$Z$500,K559,INDEX($P$2:$P$8,L559)),""))</f>
        <v/>
      </c>
      <c r="G559" s="85" t="str">
        <f aca="false">IF(A559="","",INDEX($Q$2:$Q$8,L559))</f>
        <v/>
      </c>
      <c r="H559" s="85" t="str">
        <f aca="false">IF(A559="","",IF(F559="","Not yet scored",IF(F559&gt;=G559,"Pass","Fail")))</f>
        <v/>
      </c>
      <c r="I559" s="85" t="str">
        <f aca="false">IF(A559="","",INDEX(Candidates!$B$1:$B$500,K559))</f>
        <v/>
      </c>
      <c r="K559" s="86" t="n">
        <f aca="false">INT((ROW()-2)/7)+2</f>
        <v>81</v>
      </c>
      <c r="L559" s="86" t="n">
        <f aca="false">MOD(ROW()-2,7)+1</f>
        <v>5</v>
      </c>
    </row>
    <row r="560" customFormat="false" ht="15" hidden="false" customHeight="false" outlineLevel="0" collapsed="false">
      <c r="A560" s="85" t="str">
        <f aca="false">IF(INDEX(Candidates!$A$1:$A$500,K560)="","",INDEX(Candidates!$A$1:$A$500,K560))</f>
        <v/>
      </c>
      <c r="B560" s="85" t="str">
        <f aca="false">IF(A560="","",INDEX(Candidates!$C$1:$C$500,K560))</f>
        <v/>
      </c>
      <c r="C560" s="85" t="str">
        <f aca="false">IF(A560="","",INDEX(Candidates!$D$1:$D$500,K560))</f>
        <v/>
      </c>
      <c r="D560" s="85" t="str">
        <f aca="false">IF(A560="","",L560)</f>
        <v/>
      </c>
      <c r="E560" s="85" t="str">
        <f aca="false">IF(A560="","",INDEX($O$2:$O$8,L560))</f>
        <v/>
      </c>
      <c r="F560" s="85" t="str">
        <f aca="false">IF(A560="","",IF(ISNUMBER(INDEX(Candidates!$A$1:$Z$500,K560,INDEX($P$2:$P$8,L560))),INDEX(Candidates!$A$1:$Z$500,K560,INDEX($P$2:$P$8,L560)),""))</f>
        <v/>
      </c>
      <c r="G560" s="85" t="str">
        <f aca="false">IF(A560="","",INDEX($Q$2:$Q$8,L560))</f>
        <v/>
      </c>
      <c r="H560" s="85" t="str">
        <f aca="false">IF(A560="","",IF(F560="","Not yet scored",IF(F560&gt;=G560,"Pass","Fail")))</f>
        <v/>
      </c>
      <c r="I560" s="85" t="str">
        <f aca="false">IF(A560="","",INDEX(Candidates!$B$1:$B$500,K560))</f>
        <v/>
      </c>
      <c r="K560" s="86" t="n">
        <f aca="false">INT((ROW()-2)/7)+2</f>
        <v>81</v>
      </c>
      <c r="L560" s="86" t="n">
        <f aca="false">MOD(ROW()-2,7)+1</f>
        <v>6</v>
      </c>
    </row>
    <row r="561" customFormat="false" ht="15" hidden="false" customHeight="false" outlineLevel="0" collapsed="false">
      <c r="A561" s="85" t="str">
        <f aca="false">IF(INDEX(Candidates!$A$1:$A$500,K561)="","",INDEX(Candidates!$A$1:$A$500,K561))</f>
        <v/>
      </c>
      <c r="B561" s="85" t="str">
        <f aca="false">IF(A561="","",INDEX(Candidates!$C$1:$C$500,K561))</f>
        <v/>
      </c>
      <c r="C561" s="85" t="str">
        <f aca="false">IF(A561="","",INDEX(Candidates!$D$1:$D$500,K561))</f>
        <v/>
      </c>
      <c r="D561" s="85" t="str">
        <f aca="false">IF(A561="","",L561)</f>
        <v/>
      </c>
      <c r="E561" s="85" t="str">
        <f aca="false">IF(A561="","",INDEX($O$2:$O$8,L561))</f>
        <v/>
      </c>
      <c r="F561" s="85" t="str">
        <f aca="false">IF(A561="","",IF(ISNUMBER(INDEX(Candidates!$A$1:$Z$500,K561,INDEX($P$2:$P$8,L561))),INDEX(Candidates!$A$1:$Z$500,K561,INDEX($P$2:$P$8,L561)),""))</f>
        <v/>
      </c>
      <c r="G561" s="85" t="str">
        <f aca="false">IF(A561="","",INDEX($Q$2:$Q$8,L561))</f>
        <v/>
      </c>
      <c r="H561" s="85" t="str">
        <f aca="false">IF(A561="","",IF(F561="","Not yet scored",IF(F561&gt;=G561,"Pass","Fail")))</f>
        <v/>
      </c>
      <c r="I561" s="85" t="str">
        <f aca="false">IF(A561="","",INDEX(Candidates!$B$1:$B$500,K561))</f>
        <v/>
      </c>
      <c r="K561" s="86" t="n">
        <f aca="false">INT((ROW()-2)/7)+2</f>
        <v>81</v>
      </c>
      <c r="L561" s="86" t="n">
        <f aca="false">MOD(ROW()-2,7)+1</f>
        <v>7</v>
      </c>
    </row>
    <row r="562" customFormat="false" ht="15" hidden="false" customHeight="false" outlineLevel="0" collapsed="false">
      <c r="A562" s="85" t="str">
        <f aca="false">IF(INDEX(Candidates!$A$1:$A$500,K562)="","",INDEX(Candidates!$A$1:$A$500,K562))</f>
        <v/>
      </c>
      <c r="B562" s="85" t="str">
        <f aca="false">IF(A562="","",INDEX(Candidates!$C$1:$C$500,K562))</f>
        <v/>
      </c>
      <c r="C562" s="85" t="str">
        <f aca="false">IF(A562="","",INDEX(Candidates!$D$1:$D$500,K562))</f>
        <v/>
      </c>
      <c r="D562" s="85" t="str">
        <f aca="false">IF(A562="","",L562)</f>
        <v/>
      </c>
      <c r="E562" s="85" t="str">
        <f aca="false">IF(A562="","",INDEX($O$2:$O$8,L562))</f>
        <v/>
      </c>
      <c r="F562" s="85" t="str">
        <f aca="false">IF(A562="","",IF(ISNUMBER(INDEX(Candidates!$A$1:$Z$500,K562,INDEX($P$2:$P$8,L562))),INDEX(Candidates!$A$1:$Z$500,K562,INDEX($P$2:$P$8,L562)),""))</f>
        <v/>
      </c>
      <c r="G562" s="85" t="str">
        <f aca="false">IF(A562="","",INDEX($Q$2:$Q$8,L562))</f>
        <v/>
      </c>
      <c r="H562" s="85" t="str">
        <f aca="false">IF(A562="","",IF(F562="","Not yet scored",IF(F562&gt;=G562,"Pass","Fail")))</f>
        <v/>
      </c>
      <c r="I562" s="85" t="str">
        <f aca="false">IF(A562="","",INDEX(Candidates!$B$1:$B$500,K562))</f>
        <v/>
      </c>
      <c r="K562" s="86" t="n">
        <f aca="false">INT((ROW()-2)/7)+2</f>
        <v>82</v>
      </c>
      <c r="L562" s="86" t="n">
        <f aca="false">MOD(ROW()-2,7)+1</f>
        <v>1</v>
      </c>
    </row>
    <row r="563" customFormat="false" ht="15" hidden="false" customHeight="false" outlineLevel="0" collapsed="false">
      <c r="A563" s="85" t="str">
        <f aca="false">IF(INDEX(Candidates!$A$1:$A$500,K563)="","",INDEX(Candidates!$A$1:$A$500,K563))</f>
        <v/>
      </c>
      <c r="B563" s="85" t="str">
        <f aca="false">IF(A563="","",INDEX(Candidates!$C$1:$C$500,K563))</f>
        <v/>
      </c>
      <c r="C563" s="85" t="str">
        <f aca="false">IF(A563="","",INDEX(Candidates!$D$1:$D$500,K563))</f>
        <v/>
      </c>
      <c r="D563" s="85" t="str">
        <f aca="false">IF(A563="","",L563)</f>
        <v/>
      </c>
      <c r="E563" s="85" t="str">
        <f aca="false">IF(A563="","",INDEX($O$2:$O$8,L563))</f>
        <v/>
      </c>
      <c r="F563" s="85" t="str">
        <f aca="false">IF(A563="","",IF(ISNUMBER(INDEX(Candidates!$A$1:$Z$500,K563,INDEX($P$2:$P$8,L563))),INDEX(Candidates!$A$1:$Z$500,K563,INDEX($P$2:$P$8,L563)),""))</f>
        <v/>
      </c>
      <c r="G563" s="85" t="str">
        <f aca="false">IF(A563="","",INDEX($Q$2:$Q$8,L563))</f>
        <v/>
      </c>
      <c r="H563" s="85" t="str">
        <f aca="false">IF(A563="","",IF(F563="","Not yet scored",IF(F563&gt;=G563,"Pass","Fail")))</f>
        <v/>
      </c>
      <c r="I563" s="85" t="str">
        <f aca="false">IF(A563="","",INDEX(Candidates!$B$1:$B$500,K563))</f>
        <v/>
      </c>
      <c r="K563" s="86" t="n">
        <f aca="false">INT((ROW()-2)/7)+2</f>
        <v>82</v>
      </c>
      <c r="L563" s="86" t="n">
        <f aca="false">MOD(ROW()-2,7)+1</f>
        <v>2</v>
      </c>
    </row>
    <row r="564" customFormat="false" ht="15" hidden="false" customHeight="false" outlineLevel="0" collapsed="false">
      <c r="A564" s="85" t="str">
        <f aca="false">IF(INDEX(Candidates!$A$1:$A$500,K564)="","",INDEX(Candidates!$A$1:$A$500,K564))</f>
        <v/>
      </c>
      <c r="B564" s="85" t="str">
        <f aca="false">IF(A564="","",INDEX(Candidates!$C$1:$C$500,K564))</f>
        <v/>
      </c>
      <c r="C564" s="85" t="str">
        <f aca="false">IF(A564="","",INDEX(Candidates!$D$1:$D$500,K564))</f>
        <v/>
      </c>
      <c r="D564" s="85" t="str">
        <f aca="false">IF(A564="","",L564)</f>
        <v/>
      </c>
      <c r="E564" s="85" t="str">
        <f aca="false">IF(A564="","",INDEX($O$2:$O$8,L564))</f>
        <v/>
      </c>
      <c r="F564" s="85" t="str">
        <f aca="false">IF(A564="","",IF(ISNUMBER(INDEX(Candidates!$A$1:$Z$500,K564,INDEX($P$2:$P$8,L564))),INDEX(Candidates!$A$1:$Z$500,K564,INDEX($P$2:$P$8,L564)),""))</f>
        <v/>
      </c>
      <c r="G564" s="85" t="str">
        <f aca="false">IF(A564="","",INDEX($Q$2:$Q$8,L564))</f>
        <v/>
      </c>
      <c r="H564" s="85" t="str">
        <f aca="false">IF(A564="","",IF(F564="","Not yet scored",IF(F564&gt;=G564,"Pass","Fail")))</f>
        <v/>
      </c>
      <c r="I564" s="85" t="str">
        <f aca="false">IF(A564="","",INDEX(Candidates!$B$1:$B$500,K564))</f>
        <v/>
      </c>
      <c r="K564" s="86" t="n">
        <f aca="false">INT((ROW()-2)/7)+2</f>
        <v>82</v>
      </c>
      <c r="L564" s="86" t="n">
        <f aca="false">MOD(ROW()-2,7)+1</f>
        <v>3</v>
      </c>
    </row>
    <row r="565" customFormat="false" ht="15" hidden="false" customHeight="false" outlineLevel="0" collapsed="false">
      <c r="A565" s="85" t="str">
        <f aca="false">IF(INDEX(Candidates!$A$1:$A$500,K565)="","",INDEX(Candidates!$A$1:$A$500,K565))</f>
        <v/>
      </c>
      <c r="B565" s="85" t="str">
        <f aca="false">IF(A565="","",INDEX(Candidates!$C$1:$C$500,K565))</f>
        <v/>
      </c>
      <c r="C565" s="85" t="str">
        <f aca="false">IF(A565="","",INDEX(Candidates!$D$1:$D$500,K565))</f>
        <v/>
      </c>
      <c r="D565" s="85" t="str">
        <f aca="false">IF(A565="","",L565)</f>
        <v/>
      </c>
      <c r="E565" s="85" t="str">
        <f aca="false">IF(A565="","",INDEX($O$2:$O$8,L565))</f>
        <v/>
      </c>
      <c r="F565" s="85" t="str">
        <f aca="false">IF(A565="","",IF(ISNUMBER(INDEX(Candidates!$A$1:$Z$500,K565,INDEX($P$2:$P$8,L565))),INDEX(Candidates!$A$1:$Z$500,K565,INDEX($P$2:$P$8,L565)),""))</f>
        <v/>
      </c>
      <c r="G565" s="85" t="str">
        <f aca="false">IF(A565="","",INDEX($Q$2:$Q$8,L565))</f>
        <v/>
      </c>
      <c r="H565" s="85" t="str">
        <f aca="false">IF(A565="","",IF(F565="","Not yet scored",IF(F565&gt;=G565,"Pass","Fail")))</f>
        <v/>
      </c>
      <c r="I565" s="85" t="str">
        <f aca="false">IF(A565="","",INDEX(Candidates!$B$1:$B$500,K565))</f>
        <v/>
      </c>
      <c r="K565" s="86" t="n">
        <f aca="false">INT((ROW()-2)/7)+2</f>
        <v>82</v>
      </c>
      <c r="L565" s="86" t="n">
        <f aca="false">MOD(ROW()-2,7)+1</f>
        <v>4</v>
      </c>
    </row>
    <row r="566" customFormat="false" ht="15" hidden="false" customHeight="false" outlineLevel="0" collapsed="false">
      <c r="A566" s="85" t="str">
        <f aca="false">IF(INDEX(Candidates!$A$1:$A$500,K566)="","",INDEX(Candidates!$A$1:$A$500,K566))</f>
        <v/>
      </c>
      <c r="B566" s="85" t="str">
        <f aca="false">IF(A566="","",INDEX(Candidates!$C$1:$C$500,K566))</f>
        <v/>
      </c>
      <c r="C566" s="85" t="str">
        <f aca="false">IF(A566="","",INDEX(Candidates!$D$1:$D$500,K566))</f>
        <v/>
      </c>
      <c r="D566" s="85" t="str">
        <f aca="false">IF(A566="","",L566)</f>
        <v/>
      </c>
      <c r="E566" s="85" t="str">
        <f aca="false">IF(A566="","",INDEX($O$2:$O$8,L566))</f>
        <v/>
      </c>
      <c r="F566" s="85" t="str">
        <f aca="false">IF(A566="","",IF(ISNUMBER(INDEX(Candidates!$A$1:$Z$500,K566,INDEX($P$2:$P$8,L566))),INDEX(Candidates!$A$1:$Z$500,K566,INDEX($P$2:$P$8,L566)),""))</f>
        <v/>
      </c>
      <c r="G566" s="85" t="str">
        <f aca="false">IF(A566="","",INDEX($Q$2:$Q$8,L566))</f>
        <v/>
      </c>
      <c r="H566" s="85" t="str">
        <f aca="false">IF(A566="","",IF(F566="","Not yet scored",IF(F566&gt;=G566,"Pass","Fail")))</f>
        <v/>
      </c>
      <c r="I566" s="85" t="str">
        <f aca="false">IF(A566="","",INDEX(Candidates!$B$1:$B$500,K566))</f>
        <v/>
      </c>
      <c r="K566" s="86" t="n">
        <f aca="false">INT((ROW()-2)/7)+2</f>
        <v>82</v>
      </c>
      <c r="L566" s="86" t="n">
        <f aca="false">MOD(ROW()-2,7)+1</f>
        <v>5</v>
      </c>
    </row>
    <row r="567" customFormat="false" ht="15" hidden="false" customHeight="false" outlineLevel="0" collapsed="false">
      <c r="A567" s="85" t="str">
        <f aca="false">IF(INDEX(Candidates!$A$1:$A$500,K567)="","",INDEX(Candidates!$A$1:$A$500,K567))</f>
        <v/>
      </c>
      <c r="B567" s="85" t="str">
        <f aca="false">IF(A567="","",INDEX(Candidates!$C$1:$C$500,K567))</f>
        <v/>
      </c>
      <c r="C567" s="85" t="str">
        <f aca="false">IF(A567="","",INDEX(Candidates!$D$1:$D$500,K567))</f>
        <v/>
      </c>
      <c r="D567" s="85" t="str">
        <f aca="false">IF(A567="","",L567)</f>
        <v/>
      </c>
      <c r="E567" s="85" t="str">
        <f aca="false">IF(A567="","",INDEX($O$2:$O$8,L567))</f>
        <v/>
      </c>
      <c r="F567" s="85" t="str">
        <f aca="false">IF(A567="","",IF(ISNUMBER(INDEX(Candidates!$A$1:$Z$500,K567,INDEX($P$2:$P$8,L567))),INDEX(Candidates!$A$1:$Z$500,K567,INDEX($P$2:$P$8,L567)),""))</f>
        <v/>
      </c>
      <c r="G567" s="85" t="str">
        <f aca="false">IF(A567="","",INDEX($Q$2:$Q$8,L567))</f>
        <v/>
      </c>
      <c r="H567" s="85" t="str">
        <f aca="false">IF(A567="","",IF(F567="","Not yet scored",IF(F567&gt;=G567,"Pass","Fail")))</f>
        <v/>
      </c>
      <c r="I567" s="85" t="str">
        <f aca="false">IF(A567="","",INDEX(Candidates!$B$1:$B$500,K567))</f>
        <v/>
      </c>
      <c r="K567" s="86" t="n">
        <f aca="false">INT((ROW()-2)/7)+2</f>
        <v>82</v>
      </c>
      <c r="L567" s="86" t="n">
        <f aca="false">MOD(ROW()-2,7)+1</f>
        <v>6</v>
      </c>
    </row>
    <row r="568" customFormat="false" ht="15" hidden="false" customHeight="false" outlineLevel="0" collapsed="false">
      <c r="A568" s="85" t="str">
        <f aca="false">IF(INDEX(Candidates!$A$1:$A$500,K568)="","",INDEX(Candidates!$A$1:$A$500,K568))</f>
        <v/>
      </c>
      <c r="B568" s="85" t="str">
        <f aca="false">IF(A568="","",INDEX(Candidates!$C$1:$C$500,K568))</f>
        <v/>
      </c>
      <c r="C568" s="85" t="str">
        <f aca="false">IF(A568="","",INDEX(Candidates!$D$1:$D$500,K568))</f>
        <v/>
      </c>
      <c r="D568" s="85" t="str">
        <f aca="false">IF(A568="","",L568)</f>
        <v/>
      </c>
      <c r="E568" s="85" t="str">
        <f aca="false">IF(A568="","",INDEX($O$2:$O$8,L568))</f>
        <v/>
      </c>
      <c r="F568" s="85" t="str">
        <f aca="false">IF(A568="","",IF(ISNUMBER(INDEX(Candidates!$A$1:$Z$500,K568,INDEX($P$2:$P$8,L568))),INDEX(Candidates!$A$1:$Z$500,K568,INDEX($P$2:$P$8,L568)),""))</f>
        <v/>
      </c>
      <c r="G568" s="85" t="str">
        <f aca="false">IF(A568="","",INDEX($Q$2:$Q$8,L568))</f>
        <v/>
      </c>
      <c r="H568" s="85" t="str">
        <f aca="false">IF(A568="","",IF(F568="","Not yet scored",IF(F568&gt;=G568,"Pass","Fail")))</f>
        <v/>
      </c>
      <c r="I568" s="85" t="str">
        <f aca="false">IF(A568="","",INDEX(Candidates!$B$1:$B$500,K568))</f>
        <v/>
      </c>
      <c r="K568" s="86" t="n">
        <f aca="false">INT((ROW()-2)/7)+2</f>
        <v>82</v>
      </c>
      <c r="L568" s="86" t="n">
        <f aca="false">MOD(ROW()-2,7)+1</f>
        <v>7</v>
      </c>
    </row>
    <row r="569" customFormat="false" ht="15" hidden="false" customHeight="false" outlineLevel="0" collapsed="false">
      <c r="A569" s="85" t="str">
        <f aca="false">IF(INDEX(Candidates!$A$1:$A$500,K569)="","",INDEX(Candidates!$A$1:$A$500,K569))</f>
        <v/>
      </c>
      <c r="B569" s="85" t="str">
        <f aca="false">IF(A569="","",INDEX(Candidates!$C$1:$C$500,K569))</f>
        <v/>
      </c>
      <c r="C569" s="85" t="str">
        <f aca="false">IF(A569="","",INDEX(Candidates!$D$1:$D$500,K569))</f>
        <v/>
      </c>
      <c r="D569" s="85" t="str">
        <f aca="false">IF(A569="","",L569)</f>
        <v/>
      </c>
      <c r="E569" s="85" t="str">
        <f aca="false">IF(A569="","",INDEX($O$2:$O$8,L569))</f>
        <v/>
      </c>
      <c r="F569" s="85" t="str">
        <f aca="false">IF(A569="","",IF(ISNUMBER(INDEX(Candidates!$A$1:$Z$500,K569,INDEX($P$2:$P$8,L569))),INDEX(Candidates!$A$1:$Z$500,K569,INDEX($P$2:$P$8,L569)),""))</f>
        <v/>
      </c>
      <c r="G569" s="85" t="str">
        <f aca="false">IF(A569="","",INDEX($Q$2:$Q$8,L569))</f>
        <v/>
      </c>
      <c r="H569" s="85" t="str">
        <f aca="false">IF(A569="","",IF(F569="","Not yet scored",IF(F569&gt;=G569,"Pass","Fail")))</f>
        <v/>
      </c>
      <c r="I569" s="85" t="str">
        <f aca="false">IF(A569="","",INDEX(Candidates!$B$1:$B$500,K569))</f>
        <v/>
      </c>
      <c r="K569" s="86" t="n">
        <f aca="false">INT((ROW()-2)/7)+2</f>
        <v>83</v>
      </c>
      <c r="L569" s="86" t="n">
        <f aca="false">MOD(ROW()-2,7)+1</f>
        <v>1</v>
      </c>
    </row>
    <row r="570" customFormat="false" ht="15" hidden="false" customHeight="false" outlineLevel="0" collapsed="false">
      <c r="A570" s="85" t="str">
        <f aca="false">IF(INDEX(Candidates!$A$1:$A$500,K570)="","",INDEX(Candidates!$A$1:$A$500,K570))</f>
        <v/>
      </c>
      <c r="B570" s="85" t="str">
        <f aca="false">IF(A570="","",INDEX(Candidates!$C$1:$C$500,K570))</f>
        <v/>
      </c>
      <c r="C570" s="85" t="str">
        <f aca="false">IF(A570="","",INDEX(Candidates!$D$1:$D$500,K570))</f>
        <v/>
      </c>
      <c r="D570" s="85" t="str">
        <f aca="false">IF(A570="","",L570)</f>
        <v/>
      </c>
      <c r="E570" s="85" t="str">
        <f aca="false">IF(A570="","",INDEX($O$2:$O$8,L570))</f>
        <v/>
      </c>
      <c r="F570" s="85" t="str">
        <f aca="false">IF(A570="","",IF(ISNUMBER(INDEX(Candidates!$A$1:$Z$500,K570,INDEX($P$2:$P$8,L570))),INDEX(Candidates!$A$1:$Z$500,K570,INDEX($P$2:$P$8,L570)),""))</f>
        <v/>
      </c>
      <c r="G570" s="85" t="str">
        <f aca="false">IF(A570="","",INDEX($Q$2:$Q$8,L570))</f>
        <v/>
      </c>
      <c r="H570" s="85" t="str">
        <f aca="false">IF(A570="","",IF(F570="","Not yet scored",IF(F570&gt;=G570,"Pass","Fail")))</f>
        <v/>
      </c>
      <c r="I570" s="85" t="str">
        <f aca="false">IF(A570="","",INDEX(Candidates!$B$1:$B$500,K570))</f>
        <v/>
      </c>
      <c r="K570" s="86" t="n">
        <f aca="false">INT((ROW()-2)/7)+2</f>
        <v>83</v>
      </c>
      <c r="L570" s="86" t="n">
        <f aca="false">MOD(ROW()-2,7)+1</f>
        <v>2</v>
      </c>
    </row>
    <row r="571" customFormat="false" ht="15" hidden="false" customHeight="false" outlineLevel="0" collapsed="false">
      <c r="A571" s="85" t="str">
        <f aca="false">IF(INDEX(Candidates!$A$1:$A$500,K571)="","",INDEX(Candidates!$A$1:$A$500,K571))</f>
        <v/>
      </c>
      <c r="B571" s="85" t="str">
        <f aca="false">IF(A571="","",INDEX(Candidates!$C$1:$C$500,K571))</f>
        <v/>
      </c>
      <c r="C571" s="85" t="str">
        <f aca="false">IF(A571="","",INDEX(Candidates!$D$1:$D$500,K571))</f>
        <v/>
      </c>
      <c r="D571" s="85" t="str">
        <f aca="false">IF(A571="","",L571)</f>
        <v/>
      </c>
      <c r="E571" s="85" t="str">
        <f aca="false">IF(A571="","",INDEX($O$2:$O$8,L571))</f>
        <v/>
      </c>
      <c r="F571" s="85" t="str">
        <f aca="false">IF(A571="","",IF(ISNUMBER(INDEX(Candidates!$A$1:$Z$500,K571,INDEX($P$2:$P$8,L571))),INDEX(Candidates!$A$1:$Z$500,K571,INDEX($P$2:$P$8,L571)),""))</f>
        <v/>
      </c>
      <c r="G571" s="85" t="str">
        <f aca="false">IF(A571="","",INDEX($Q$2:$Q$8,L571))</f>
        <v/>
      </c>
      <c r="H571" s="85" t="str">
        <f aca="false">IF(A571="","",IF(F571="","Not yet scored",IF(F571&gt;=G571,"Pass","Fail")))</f>
        <v/>
      </c>
      <c r="I571" s="85" t="str">
        <f aca="false">IF(A571="","",INDEX(Candidates!$B$1:$B$500,K571))</f>
        <v/>
      </c>
      <c r="K571" s="86" t="n">
        <f aca="false">INT((ROW()-2)/7)+2</f>
        <v>83</v>
      </c>
      <c r="L571" s="86" t="n">
        <f aca="false">MOD(ROW()-2,7)+1</f>
        <v>3</v>
      </c>
    </row>
    <row r="572" customFormat="false" ht="15" hidden="false" customHeight="false" outlineLevel="0" collapsed="false">
      <c r="A572" s="85" t="str">
        <f aca="false">IF(INDEX(Candidates!$A$1:$A$500,K572)="","",INDEX(Candidates!$A$1:$A$500,K572))</f>
        <v/>
      </c>
      <c r="B572" s="85" t="str">
        <f aca="false">IF(A572="","",INDEX(Candidates!$C$1:$C$500,K572))</f>
        <v/>
      </c>
      <c r="C572" s="85" t="str">
        <f aca="false">IF(A572="","",INDEX(Candidates!$D$1:$D$500,K572))</f>
        <v/>
      </c>
      <c r="D572" s="85" t="str">
        <f aca="false">IF(A572="","",L572)</f>
        <v/>
      </c>
      <c r="E572" s="85" t="str">
        <f aca="false">IF(A572="","",INDEX($O$2:$O$8,L572))</f>
        <v/>
      </c>
      <c r="F572" s="85" t="str">
        <f aca="false">IF(A572="","",IF(ISNUMBER(INDEX(Candidates!$A$1:$Z$500,K572,INDEX($P$2:$P$8,L572))),INDEX(Candidates!$A$1:$Z$500,K572,INDEX($P$2:$P$8,L572)),""))</f>
        <v/>
      </c>
      <c r="G572" s="85" t="str">
        <f aca="false">IF(A572="","",INDEX($Q$2:$Q$8,L572))</f>
        <v/>
      </c>
      <c r="H572" s="85" t="str">
        <f aca="false">IF(A572="","",IF(F572="","Not yet scored",IF(F572&gt;=G572,"Pass","Fail")))</f>
        <v/>
      </c>
      <c r="I572" s="85" t="str">
        <f aca="false">IF(A572="","",INDEX(Candidates!$B$1:$B$500,K572))</f>
        <v/>
      </c>
      <c r="K572" s="86" t="n">
        <f aca="false">INT((ROW()-2)/7)+2</f>
        <v>83</v>
      </c>
      <c r="L572" s="86" t="n">
        <f aca="false">MOD(ROW()-2,7)+1</f>
        <v>4</v>
      </c>
    </row>
    <row r="573" customFormat="false" ht="15" hidden="false" customHeight="false" outlineLevel="0" collapsed="false">
      <c r="A573" s="85" t="str">
        <f aca="false">IF(INDEX(Candidates!$A$1:$A$500,K573)="","",INDEX(Candidates!$A$1:$A$500,K573))</f>
        <v/>
      </c>
      <c r="B573" s="85" t="str">
        <f aca="false">IF(A573="","",INDEX(Candidates!$C$1:$C$500,K573))</f>
        <v/>
      </c>
      <c r="C573" s="85" t="str">
        <f aca="false">IF(A573="","",INDEX(Candidates!$D$1:$D$500,K573))</f>
        <v/>
      </c>
      <c r="D573" s="85" t="str">
        <f aca="false">IF(A573="","",L573)</f>
        <v/>
      </c>
      <c r="E573" s="85" t="str">
        <f aca="false">IF(A573="","",INDEX($O$2:$O$8,L573))</f>
        <v/>
      </c>
      <c r="F573" s="85" t="str">
        <f aca="false">IF(A573="","",IF(ISNUMBER(INDEX(Candidates!$A$1:$Z$500,K573,INDEX($P$2:$P$8,L573))),INDEX(Candidates!$A$1:$Z$500,K573,INDEX($P$2:$P$8,L573)),""))</f>
        <v/>
      </c>
      <c r="G573" s="85" t="str">
        <f aca="false">IF(A573="","",INDEX($Q$2:$Q$8,L573))</f>
        <v/>
      </c>
      <c r="H573" s="85" t="str">
        <f aca="false">IF(A573="","",IF(F573="","Not yet scored",IF(F573&gt;=G573,"Pass","Fail")))</f>
        <v/>
      </c>
      <c r="I573" s="85" t="str">
        <f aca="false">IF(A573="","",INDEX(Candidates!$B$1:$B$500,K573))</f>
        <v/>
      </c>
      <c r="K573" s="86" t="n">
        <f aca="false">INT((ROW()-2)/7)+2</f>
        <v>83</v>
      </c>
      <c r="L573" s="86" t="n">
        <f aca="false">MOD(ROW()-2,7)+1</f>
        <v>5</v>
      </c>
    </row>
    <row r="574" customFormat="false" ht="15" hidden="false" customHeight="false" outlineLevel="0" collapsed="false">
      <c r="A574" s="85" t="str">
        <f aca="false">IF(INDEX(Candidates!$A$1:$A$500,K574)="","",INDEX(Candidates!$A$1:$A$500,K574))</f>
        <v/>
      </c>
      <c r="B574" s="85" t="str">
        <f aca="false">IF(A574="","",INDEX(Candidates!$C$1:$C$500,K574))</f>
        <v/>
      </c>
      <c r="C574" s="85" t="str">
        <f aca="false">IF(A574="","",INDEX(Candidates!$D$1:$D$500,K574))</f>
        <v/>
      </c>
      <c r="D574" s="85" t="str">
        <f aca="false">IF(A574="","",L574)</f>
        <v/>
      </c>
      <c r="E574" s="85" t="str">
        <f aca="false">IF(A574="","",INDEX($O$2:$O$8,L574))</f>
        <v/>
      </c>
      <c r="F574" s="85" t="str">
        <f aca="false">IF(A574="","",IF(ISNUMBER(INDEX(Candidates!$A$1:$Z$500,K574,INDEX($P$2:$P$8,L574))),INDEX(Candidates!$A$1:$Z$500,K574,INDEX($P$2:$P$8,L574)),""))</f>
        <v/>
      </c>
      <c r="G574" s="85" t="str">
        <f aca="false">IF(A574="","",INDEX($Q$2:$Q$8,L574))</f>
        <v/>
      </c>
      <c r="H574" s="85" t="str">
        <f aca="false">IF(A574="","",IF(F574="","Not yet scored",IF(F574&gt;=G574,"Pass","Fail")))</f>
        <v/>
      </c>
      <c r="I574" s="85" t="str">
        <f aca="false">IF(A574="","",INDEX(Candidates!$B$1:$B$500,K574))</f>
        <v/>
      </c>
      <c r="K574" s="86" t="n">
        <f aca="false">INT((ROW()-2)/7)+2</f>
        <v>83</v>
      </c>
      <c r="L574" s="86" t="n">
        <f aca="false">MOD(ROW()-2,7)+1</f>
        <v>6</v>
      </c>
    </row>
    <row r="575" customFormat="false" ht="15" hidden="false" customHeight="false" outlineLevel="0" collapsed="false">
      <c r="A575" s="85" t="str">
        <f aca="false">IF(INDEX(Candidates!$A$1:$A$500,K575)="","",INDEX(Candidates!$A$1:$A$500,K575))</f>
        <v/>
      </c>
      <c r="B575" s="85" t="str">
        <f aca="false">IF(A575="","",INDEX(Candidates!$C$1:$C$500,K575))</f>
        <v/>
      </c>
      <c r="C575" s="85" t="str">
        <f aca="false">IF(A575="","",INDEX(Candidates!$D$1:$D$500,K575))</f>
        <v/>
      </c>
      <c r="D575" s="85" t="str">
        <f aca="false">IF(A575="","",L575)</f>
        <v/>
      </c>
      <c r="E575" s="85" t="str">
        <f aca="false">IF(A575="","",INDEX($O$2:$O$8,L575))</f>
        <v/>
      </c>
      <c r="F575" s="85" t="str">
        <f aca="false">IF(A575="","",IF(ISNUMBER(INDEX(Candidates!$A$1:$Z$500,K575,INDEX($P$2:$P$8,L575))),INDEX(Candidates!$A$1:$Z$500,K575,INDEX($P$2:$P$8,L575)),""))</f>
        <v/>
      </c>
      <c r="G575" s="85" t="str">
        <f aca="false">IF(A575="","",INDEX($Q$2:$Q$8,L575))</f>
        <v/>
      </c>
      <c r="H575" s="85" t="str">
        <f aca="false">IF(A575="","",IF(F575="","Not yet scored",IF(F575&gt;=G575,"Pass","Fail")))</f>
        <v/>
      </c>
      <c r="I575" s="85" t="str">
        <f aca="false">IF(A575="","",INDEX(Candidates!$B$1:$B$500,K575))</f>
        <v/>
      </c>
      <c r="K575" s="86" t="n">
        <f aca="false">INT((ROW()-2)/7)+2</f>
        <v>83</v>
      </c>
      <c r="L575" s="86" t="n">
        <f aca="false">MOD(ROW()-2,7)+1</f>
        <v>7</v>
      </c>
    </row>
    <row r="576" customFormat="false" ht="15" hidden="false" customHeight="false" outlineLevel="0" collapsed="false">
      <c r="A576" s="85" t="str">
        <f aca="false">IF(INDEX(Candidates!$A$1:$A$500,K576)="","",INDEX(Candidates!$A$1:$A$500,K576))</f>
        <v/>
      </c>
      <c r="B576" s="85" t="str">
        <f aca="false">IF(A576="","",INDEX(Candidates!$C$1:$C$500,K576))</f>
        <v/>
      </c>
      <c r="C576" s="85" t="str">
        <f aca="false">IF(A576="","",INDEX(Candidates!$D$1:$D$500,K576))</f>
        <v/>
      </c>
      <c r="D576" s="85" t="str">
        <f aca="false">IF(A576="","",L576)</f>
        <v/>
      </c>
      <c r="E576" s="85" t="str">
        <f aca="false">IF(A576="","",INDEX($O$2:$O$8,L576))</f>
        <v/>
      </c>
      <c r="F576" s="85" t="str">
        <f aca="false">IF(A576="","",IF(ISNUMBER(INDEX(Candidates!$A$1:$Z$500,K576,INDEX($P$2:$P$8,L576))),INDEX(Candidates!$A$1:$Z$500,K576,INDEX($P$2:$P$8,L576)),""))</f>
        <v/>
      </c>
      <c r="G576" s="85" t="str">
        <f aca="false">IF(A576="","",INDEX($Q$2:$Q$8,L576))</f>
        <v/>
      </c>
      <c r="H576" s="85" t="str">
        <f aca="false">IF(A576="","",IF(F576="","Not yet scored",IF(F576&gt;=G576,"Pass","Fail")))</f>
        <v/>
      </c>
      <c r="I576" s="85" t="str">
        <f aca="false">IF(A576="","",INDEX(Candidates!$B$1:$B$500,K576))</f>
        <v/>
      </c>
      <c r="K576" s="86" t="n">
        <f aca="false">INT((ROW()-2)/7)+2</f>
        <v>84</v>
      </c>
      <c r="L576" s="86" t="n">
        <f aca="false">MOD(ROW()-2,7)+1</f>
        <v>1</v>
      </c>
    </row>
    <row r="577" customFormat="false" ht="15" hidden="false" customHeight="false" outlineLevel="0" collapsed="false">
      <c r="A577" s="85" t="str">
        <f aca="false">IF(INDEX(Candidates!$A$1:$A$500,K577)="","",INDEX(Candidates!$A$1:$A$500,K577))</f>
        <v/>
      </c>
      <c r="B577" s="85" t="str">
        <f aca="false">IF(A577="","",INDEX(Candidates!$C$1:$C$500,K577))</f>
        <v/>
      </c>
      <c r="C577" s="85" t="str">
        <f aca="false">IF(A577="","",INDEX(Candidates!$D$1:$D$500,K577))</f>
        <v/>
      </c>
      <c r="D577" s="85" t="str">
        <f aca="false">IF(A577="","",L577)</f>
        <v/>
      </c>
      <c r="E577" s="85" t="str">
        <f aca="false">IF(A577="","",INDEX($O$2:$O$8,L577))</f>
        <v/>
      </c>
      <c r="F577" s="85" t="str">
        <f aca="false">IF(A577="","",IF(ISNUMBER(INDEX(Candidates!$A$1:$Z$500,K577,INDEX($P$2:$P$8,L577))),INDEX(Candidates!$A$1:$Z$500,K577,INDEX($P$2:$P$8,L577)),""))</f>
        <v/>
      </c>
      <c r="G577" s="85" t="str">
        <f aca="false">IF(A577="","",INDEX($Q$2:$Q$8,L577))</f>
        <v/>
      </c>
      <c r="H577" s="85" t="str">
        <f aca="false">IF(A577="","",IF(F577="","Not yet scored",IF(F577&gt;=G577,"Pass","Fail")))</f>
        <v/>
      </c>
      <c r="I577" s="85" t="str">
        <f aca="false">IF(A577="","",INDEX(Candidates!$B$1:$B$500,K577))</f>
        <v/>
      </c>
      <c r="K577" s="86" t="n">
        <f aca="false">INT((ROW()-2)/7)+2</f>
        <v>84</v>
      </c>
      <c r="L577" s="86" t="n">
        <f aca="false">MOD(ROW()-2,7)+1</f>
        <v>2</v>
      </c>
    </row>
    <row r="578" customFormat="false" ht="15" hidden="false" customHeight="false" outlineLevel="0" collapsed="false">
      <c r="A578" s="85" t="str">
        <f aca="false">IF(INDEX(Candidates!$A$1:$A$500,K578)="","",INDEX(Candidates!$A$1:$A$500,K578))</f>
        <v/>
      </c>
      <c r="B578" s="85" t="str">
        <f aca="false">IF(A578="","",INDEX(Candidates!$C$1:$C$500,K578))</f>
        <v/>
      </c>
      <c r="C578" s="85" t="str">
        <f aca="false">IF(A578="","",INDEX(Candidates!$D$1:$D$500,K578))</f>
        <v/>
      </c>
      <c r="D578" s="85" t="str">
        <f aca="false">IF(A578="","",L578)</f>
        <v/>
      </c>
      <c r="E578" s="85" t="str">
        <f aca="false">IF(A578="","",INDEX($O$2:$O$8,L578))</f>
        <v/>
      </c>
      <c r="F578" s="85" t="str">
        <f aca="false">IF(A578="","",IF(ISNUMBER(INDEX(Candidates!$A$1:$Z$500,K578,INDEX($P$2:$P$8,L578))),INDEX(Candidates!$A$1:$Z$500,K578,INDEX($P$2:$P$8,L578)),""))</f>
        <v/>
      </c>
      <c r="G578" s="85" t="str">
        <f aca="false">IF(A578="","",INDEX($Q$2:$Q$8,L578))</f>
        <v/>
      </c>
      <c r="H578" s="85" t="str">
        <f aca="false">IF(A578="","",IF(F578="","Not yet scored",IF(F578&gt;=G578,"Pass","Fail")))</f>
        <v/>
      </c>
      <c r="I578" s="85" t="str">
        <f aca="false">IF(A578="","",INDEX(Candidates!$B$1:$B$500,K578))</f>
        <v/>
      </c>
      <c r="K578" s="86" t="n">
        <f aca="false">INT((ROW()-2)/7)+2</f>
        <v>84</v>
      </c>
      <c r="L578" s="86" t="n">
        <f aca="false">MOD(ROW()-2,7)+1</f>
        <v>3</v>
      </c>
    </row>
    <row r="579" customFormat="false" ht="15" hidden="false" customHeight="false" outlineLevel="0" collapsed="false">
      <c r="A579" s="85" t="str">
        <f aca="false">IF(INDEX(Candidates!$A$1:$A$500,K579)="","",INDEX(Candidates!$A$1:$A$500,K579))</f>
        <v/>
      </c>
      <c r="B579" s="85" t="str">
        <f aca="false">IF(A579="","",INDEX(Candidates!$C$1:$C$500,K579))</f>
        <v/>
      </c>
      <c r="C579" s="85" t="str">
        <f aca="false">IF(A579="","",INDEX(Candidates!$D$1:$D$500,K579))</f>
        <v/>
      </c>
      <c r="D579" s="85" t="str">
        <f aca="false">IF(A579="","",L579)</f>
        <v/>
      </c>
      <c r="E579" s="85" t="str">
        <f aca="false">IF(A579="","",INDEX($O$2:$O$8,L579))</f>
        <v/>
      </c>
      <c r="F579" s="85" t="str">
        <f aca="false">IF(A579="","",IF(ISNUMBER(INDEX(Candidates!$A$1:$Z$500,K579,INDEX($P$2:$P$8,L579))),INDEX(Candidates!$A$1:$Z$500,K579,INDEX($P$2:$P$8,L579)),""))</f>
        <v/>
      </c>
      <c r="G579" s="85" t="str">
        <f aca="false">IF(A579="","",INDEX($Q$2:$Q$8,L579))</f>
        <v/>
      </c>
      <c r="H579" s="85" t="str">
        <f aca="false">IF(A579="","",IF(F579="","Not yet scored",IF(F579&gt;=G579,"Pass","Fail")))</f>
        <v/>
      </c>
      <c r="I579" s="85" t="str">
        <f aca="false">IF(A579="","",INDEX(Candidates!$B$1:$B$500,K579))</f>
        <v/>
      </c>
      <c r="K579" s="86" t="n">
        <f aca="false">INT((ROW()-2)/7)+2</f>
        <v>84</v>
      </c>
      <c r="L579" s="86" t="n">
        <f aca="false">MOD(ROW()-2,7)+1</f>
        <v>4</v>
      </c>
    </row>
    <row r="580" customFormat="false" ht="15" hidden="false" customHeight="false" outlineLevel="0" collapsed="false">
      <c r="A580" s="85" t="str">
        <f aca="false">IF(INDEX(Candidates!$A$1:$A$500,K580)="","",INDEX(Candidates!$A$1:$A$500,K580))</f>
        <v/>
      </c>
      <c r="B580" s="85" t="str">
        <f aca="false">IF(A580="","",INDEX(Candidates!$C$1:$C$500,K580))</f>
        <v/>
      </c>
      <c r="C580" s="85" t="str">
        <f aca="false">IF(A580="","",INDEX(Candidates!$D$1:$D$500,K580))</f>
        <v/>
      </c>
      <c r="D580" s="85" t="str">
        <f aca="false">IF(A580="","",L580)</f>
        <v/>
      </c>
      <c r="E580" s="85" t="str">
        <f aca="false">IF(A580="","",INDEX($O$2:$O$8,L580))</f>
        <v/>
      </c>
      <c r="F580" s="85" t="str">
        <f aca="false">IF(A580="","",IF(ISNUMBER(INDEX(Candidates!$A$1:$Z$500,K580,INDEX($P$2:$P$8,L580))),INDEX(Candidates!$A$1:$Z$500,K580,INDEX($P$2:$P$8,L580)),""))</f>
        <v/>
      </c>
      <c r="G580" s="85" t="str">
        <f aca="false">IF(A580="","",INDEX($Q$2:$Q$8,L580))</f>
        <v/>
      </c>
      <c r="H580" s="85" t="str">
        <f aca="false">IF(A580="","",IF(F580="","Not yet scored",IF(F580&gt;=G580,"Pass","Fail")))</f>
        <v/>
      </c>
      <c r="I580" s="85" t="str">
        <f aca="false">IF(A580="","",INDEX(Candidates!$B$1:$B$500,K580))</f>
        <v/>
      </c>
      <c r="K580" s="86" t="n">
        <f aca="false">INT((ROW()-2)/7)+2</f>
        <v>84</v>
      </c>
      <c r="L580" s="86" t="n">
        <f aca="false">MOD(ROW()-2,7)+1</f>
        <v>5</v>
      </c>
    </row>
    <row r="581" customFormat="false" ht="15" hidden="false" customHeight="false" outlineLevel="0" collapsed="false">
      <c r="A581" s="85" t="str">
        <f aca="false">IF(INDEX(Candidates!$A$1:$A$500,K581)="","",INDEX(Candidates!$A$1:$A$500,K581))</f>
        <v/>
      </c>
      <c r="B581" s="85" t="str">
        <f aca="false">IF(A581="","",INDEX(Candidates!$C$1:$C$500,K581))</f>
        <v/>
      </c>
      <c r="C581" s="85" t="str">
        <f aca="false">IF(A581="","",INDEX(Candidates!$D$1:$D$500,K581))</f>
        <v/>
      </c>
      <c r="D581" s="85" t="str">
        <f aca="false">IF(A581="","",L581)</f>
        <v/>
      </c>
      <c r="E581" s="85" t="str">
        <f aca="false">IF(A581="","",INDEX($O$2:$O$8,L581))</f>
        <v/>
      </c>
      <c r="F581" s="85" t="str">
        <f aca="false">IF(A581="","",IF(ISNUMBER(INDEX(Candidates!$A$1:$Z$500,K581,INDEX($P$2:$P$8,L581))),INDEX(Candidates!$A$1:$Z$500,K581,INDEX($P$2:$P$8,L581)),""))</f>
        <v/>
      </c>
      <c r="G581" s="85" t="str">
        <f aca="false">IF(A581="","",INDEX($Q$2:$Q$8,L581))</f>
        <v/>
      </c>
      <c r="H581" s="85" t="str">
        <f aca="false">IF(A581="","",IF(F581="","Not yet scored",IF(F581&gt;=G581,"Pass","Fail")))</f>
        <v/>
      </c>
      <c r="I581" s="85" t="str">
        <f aca="false">IF(A581="","",INDEX(Candidates!$B$1:$B$500,K581))</f>
        <v/>
      </c>
      <c r="K581" s="86" t="n">
        <f aca="false">INT((ROW()-2)/7)+2</f>
        <v>84</v>
      </c>
      <c r="L581" s="86" t="n">
        <f aca="false">MOD(ROW()-2,7)+1</f>
        <v>6</v>
      </c>
    </row>
    <row r="582" customFormat="false" ht="15" hidden="false" customHeight="false" outlineLevel="0" collapsed="false">
      <c r="A582" s="85" t="str">
        <f aca="false">IF(INDEX(Candidates!$A$1:$A$500,K582)="","",INDEX(Candidates!$A$1:$A$500,K582))</f>
        <v/>
      </c>
      <c r="B582" s="85" t="str">
        <f aca="false">IF(A582="","",INDEX(Candidates!$C$1:$C$500,K582))</f>
        <v/>
      </c>
      <c r="C582" s="85" t="str">
        <f aca="false">IF(A582="","",INDEX(Candidates!$D$1:$D$500,K582))</f>
        <v/>
      </c>
      <c r="D582" s="85" t="str">
        <f aca="false">IF(A582="","",L582)</f>
        <v/>
      </c>
      <c r="E582" s="85" t="str">
        <f aca="false">IF(A582="","",INDEX($O$2:$O$8,L582))</f>
        <v/>
      </c>
      <c r="F582" s="85" t="str">
        <f aca="false">IF(A582="","",IF(ISNUMBER(INDEX(Candidates!$A$1:$Z$500,K582,INDEX($P$2:$P$8,L582))),INDEX(Candidates!$A$1:$Z$500,K582,INDEX($P$2:$P$8,L582)),""))</f>
        <v/>
      </c>
      <c r="G582" s="85" t="str">
        <f aca="false">IF(A582="","",INDEX($Q$2:$Q$8,L582))</f>
        <v/>
      </c>
      <c r="H582" s="85" t="str">
        <f aca="false">IF(A582="","",IF(F582="","Not yet scored",IF(F582&gt;=G582,"Pass","Fail")))</f>
        <v/>
      </c>
      <c r="I582" s="85" t="str">
        <f aca="false">IF(A582="","",INDEX(Candidates!$B$1:$B$500,K582))</f>
        <v/>
      </c>
      <c r="K582" s="86" t="n">
        <f aca="false">INT((ROW()-2)/7)+2</f>
        <v>84</v>
      </c>
      <c r="L582" s="86" t="n">
        <f aca="false">MOD(ROW()-2,7)+1</f>
        <v>7</v>
      </c>
    </row>
    <row r="583" customFormat="false" ht="15" hidden="false" customHeight="false" outlineLevel="0" collapsed="false">
      <c r="A583" s="85" t="str">
        <f aca="false">IF(INDEX(Candidates!$A$1:$A$500,K583)="","",INDEX(Candidates!$A$1:$A$500,K583))</f>
        <v/>
      </c>
      <c r="B583" s="85" t="str">
        <f aca="false">IF(A583="","",INDEX(Candidates!$C$1:$C$500,K583))</f>
        <v/>
      </c>
      <c r="C583" s="85" t="str">
        <f aca="false">IF(A583="","",INDEX(Candidates!$D$1:$D$500,K583))</f>
        <v/>
      </c>
      <c r="D583" s="85" t="str">
        <f aca="false">IF(A583="","",L583)</f>
        <v/>
      </c>
      <c r="E583" s="85" t="str">
        <f aca="false">IF(A583="","",INDEX($O$2:$O$8,L583))</f>
        <v/>
      </c>
      <c r="F583" s="85" t="str">
        <f aca="false">IF(A583="","",IF(ISNUMBER(INDEX(Candidates!$A$1:$Z$500,K583,INDEX($P$2:$P$8,L583))),INDEX(Candidates!$A$1:$Z$500,K583,INDEX($P$2:$P$8,L583)),""))</f>
        <v/>
      </c>
      <c r="G583" s="85" t="str">
        <f aca="false">IF(A583="","",INDEX($Q$2:$Q$8,L583))</f>
        <v/>
      </c>
      <c r="H583" s="85" t="str">
        <f aca="false">IF(A583="","",IF(F583="","Not yet scored",IF(F583&gt;=G583,"Pass","Fail")))</f>
        <v/>
      </c>
      <c r="I583" s="85" t="str">
        <f aca="false">IF(A583="","",INDEX(Candidates!$B$1:$B$500,K583))</f>
        <v/>
      </c>
      <c r="K583" s="86" t="n">
        <f aca="false">INT((ROW()-2)/7)+2</f>
        <v>85</v>
      </c>
      <c r="L583" s="86" t="n">
        <f aca="false">MOD(ROW()-2,7)+1</f>
        <v>1</v>
      </c>
    </row>
    <row r="584" customFormat="false" ht="15" hidden="false" customHeight="false" outlineLevel="0" collapsed="false">
      <c r="A584" s="85" t="str">
        <f aca="false">IF(INDEX(Candidates!$A$1:$A$500,K584)="","",INDEX(Candidates!$A$1:$A$500,K584))</f>
        <v/>
      </c>
      <c r="B584" s="85" t="str">
        <f aca="false">IF(A584="","",INDEX(Candidates!$C$1:$C$500,K584))</f>
        <v/>
      </c>
      <c r="C584" s="85" t="str">
        <f aca="false">IF(A584="","",INDEX(Candidates!$D$1:$D$500,K584))</f>
        <v/>
      </c>
      <c r="D584" s="85" t="str">
        <f aca="false">IF(A584="","",L584)</f>
        <v/>
      </c>
      <c r="E584" s="85" t="str">
        <f aca="false">IF(A584="","",INDEX($O$2:$O$8,L584))</f>
        <v/>
      </c>
      <c r="F584" s="85" t="str">
        <f aca="false">IF(A584="","",IF(ISNUMBER(INDEX(Candidates!$A$1:$Z$500,K584,INDEX($P$2:$P$8,L584))),INDEX(Candidates!$A$1:$Z$500,K584,INDEX($P$2:$P$8,L584)),""))</f>
        <v/>
      </c>
      <c r="G584" s="85" t="str">
        <f aca="false">IF(A584="","",INDEX($Q$2:$Q$8,L584))</f>
        <v/>
      </c>
      <c r="H584" s="85" t="str">
        <f aca="false">IF(A584="","",IF(F584="","Not yet scored",IF(F584&gt;=G584,"Pass","Fail")))</f>
        <v/>
      </c>
      <c r="I584" s="85" t="str">
        <f aca="false">IF(A584="","",INDEX(Candidates!$B$1:$B$500,K584))</f>
        <v/>
      </c>
      <c r="K584" s="86" t="n">
        <f aca="false">INT((ROW()-2)/7)+2</f>
        <v>85</v>
      </c>
      <c r="L584" s="86" t="n">
        <f aca="false">MOD(ROW()-2,7)+1</f>
        <v>2</v>
      </c>
    </row>
    <row r="585" customFormat="false" ht="15" hidden="false" customHeight="false" outlineLevel="0" collapsed="false">
      <c r="A585" s="85" t="str">
        <f aca="false">IF(INDEX(Candidates!$A$1:$A$500,K585)="","",INDEX(Candidates!$A$1:$A$500,K585))</f>
        <v/>
      </c>
      <c r="B585" s="85" t="str">
        <f aca="false">IF(A585="","",INDEX(Candidates!$C$1:$C$500,K585))</f>
        <v/>
      </c>
      <c r="C585" s="85" t="str">
        <f aca="false">IF(A585="","",INDEX(Candidates!$D$1:$D$500,K585))</f>
        <v/>
      </c>
      <c r="D585" s="85" t="str">
        <f aca="false">IF(A585="","",L585)</f>
        <v/>
      </c>
      <c r="E585" s="85" t="str">
        <f aca="false">IF(A585="","",INDEX($O$2:$O$8,L585))</f>
        <v/>
      </c>
      <c r="F585" s="85" t="str">
        <f aca="false">IF(A585="","",IF(ISNUMBER(INDEX(Candidates!$A$1:$Z$500,K585,INDEX($P$2:$P$8,L585))),INDEX(Candidates!$A$1:$Z$500,K585,INDEX($P$2:$P$8,L585)),""))</f>
        <v/>
      </c>
      <c r="G585" s="85" t="str">
        <f aca="false">IF(A585="","",INDEX($Q$2:$Q$8,L585))</f>
        <v/>
      </c>
      <c r="H585" s="85" t="str">
        <f aca="false">IF(A585="","",IF(F585="","Not yet scored",IF(F585&gt;=G585,"Pass","Fail")))</f>
        <v/>
      </c>
      <c r="I585" s="85" t="str">
        <f aca="false">IF(A585="","",INDEX(Candidates!$B$1:$B$500,K585))</f>
        <v/>
      </c>
      <c r="K585" s="86" t="n">
        <f aca="false">INT((ROW()-2)/7)+2</f>
        <v>85</v>
      </c>
      <c r="L585" s="86" t="n">
        <f aca="false">MOD(ROW()-2,7)+1</f>
        <v>3</v>
      </c>
    </row>
    <row r="586" customFormat="false" ht="15" hidden="false" customHeight="false" outlineLevel="0" collapsed="false">
      <c r="A586" s="85" t="str">
        <f aca="false">IF(INDEX(Candidates!$A$1:$A$500,K586)="","",INDEX(Candidates!$A$1:$A$500,K586))</f>
        <v/>
      </c>
      <c r="B586" s="85" t="str">
        <f aca="false">IF(A586="","",INDEX(Candidates!$C$1:$C$500,K586))</f>
        <v/>
      </c>
      <c r="C586" s="85" t="str">
        <f aca="false">IF(A586="","",INDEX(Candidates!$D$1:$D$500,K586))</f>
        <v/>
      </c>
      <c r="D586" s="85" t="str">
        <f aca="false">IF(A586="","",L586)</f>
        <v/>
      </c>
      <c r="E586" s="85" t="str">
        <f aca="false">IF(A586="","",INDEX($O$2:$O$8,L586))</f>
        <v/>
      </c>
      <c r="F586" s="85" t="str">
        <f aca="false">IF(A586="","",IF(ISNUMBER(INDEX(Candidates!$A$1:$Z$500,K586,INDEX($P$2:$P$8,L586))),INDEX(Candidates!$A$1:$Z$500,K586,INDEX($P$2:$P$8,L586)),""))</f>
        <v/>
      </c>
      <c r="G586" s="85" t="str">
        <f aca="false">IF(A586="","",INDEX($Q$2:$Q$8,L586))</f>
        <v/>
      </c>
      <c r="H586" s="85" t="str">
        <f aca="false">IF(A586="","",IF(F586="","Not yet scored",IF(F586&gt;=G586,"Pass","Fail")))</f>
        <v/>
      </c>
      <c r="I586" s="85" t="str">
        <f aca="false">IF(A586="","",INDEX(Candidates!$B$1:$B$500,K586))</f>
        <v/>
      </c>
      <c r="K586" s="86" t="n">
        <f aca="false">INT((ROW()-2)/7)+2</f>
        <v>85</v>
      </c>
      <c r="L586" s="86" t="n">
        <f aca="false">MOD(ROW()-2,7)+1</f>
        <v>4</v>
      </c>
    </row>
    <row r="587" customFormat="false" ht="15" hidden="false" customHeight="false" outlineLevel="0" collapsed="false">
      <c r="A587" s="85" t="str">
        <f aca="false">IF(INDEX(Candidates!$A$1:$A$500,K587)="","",INDEX(Candidates!$A$1:$A$500,K587))</f>
        <v/>
      </c>
      <c r="B587" s="85" t="str">
        <f aca="false">IF(A587="","",INDEX(Candidates!$C$1:$C$500,K587))</f>
        <v/>
      </c>
      <c r="C587" s="85" t="str">
        <f aca="false">IF(A587="","",INDEX(Candidates!$D$1:$D$500,K587))</f>
        <v/>
      </c>
      <c r="D587" s="85" t="str">
        <f aca="false">IF(A587="","",L587)</f>
        <v/>
      </c>
      <c r="E587" s="85" t="str">
        <f aca="false">IF(A587="","",INDEX($O$2:$O$8,L587))</f>
        <v/>
      </c>
      <c r="F587" s="85" t="str">
        <f aca="false">IF(A587="","",IF(ISNUMBER(INDEX(Candidates!$A$1:$Z$500,K587,INDEX($P$2:$P$8,L587))),INDEX(Candidates!$A$1:$Z$500,K587,INDEX($P$2:$P$8,L587)),""))</f>
        <v/>
      </c>
      <c r="G587" s="85" t="str">
        <f aca="false">IF(A587="","",INDEX($Q$2:$Q$8,L587))</f>
        <v/>
      </c>
      <c r="H587" s="85" t="str">
        <f aca="false">IF(A587="","",IF(F587="","Not yet scored",IF(F587&gt;=G587,"Pass","Fail")))</f>
        <v/>
      </c>
      <c r="I587" s="85" t="str">
        <f aca="false">IF(A587="","",INDEX(Candidates!$B$1:$B$500,K587))</f>
        <v/>
      </c>
      <c r="K587" s="86" t="n">
        <f aca="false">INT((ROW()-2)/7)+2</f>
        <v>85</v>
      </c>
      <c r="L587" s="86" t="n">
        <f aca="false">MOD(ROW()-2,7)+1</f>
        <v>5</v>
      </c>
    </row>
    <row r="588" customFormat="false" ht="15" hidden="false" customHeight="false" outlineLevel="0" collapsed="false">
      <c r="A588" s="85" t="str">
        <f aca="false">IF(INDEX(Candidates!$A$1:$A$500,K588)="","",INDEX(Candidates!$A$1:$A$500,K588))</f>
        <v/>
      </c>
      <c r="B588" s="85" t="str">
        <f aca="false">IF(A588="","",INDEX(Candidates!$C$1:$C$500,K588))</f>
        <v/>
      </c>
      <c r="C588" s="85" t="str">
        <f aca="false">IF(A588="","",INDEX(Candidates!$D$1:$D$500,K588))</f>
        <v/>
      </c>
      <c r="D588" s="85" t="str">
        <f aca="false">IF(A588="","",L588)</f>
        <v/>
      </c>
      <c r="E588" s="85" t="str">
        <f aca="false">IF(A588="","",INDEX($O$2:$O$8,L588))</f>
        <v/>
      </c>
      <c r="F588" s="85" t="str">
        <f aca="false">IF(A588="","",IF(ISNUMBER(INDEX(Candidates!$A$1:$Z$500,K588,INDEX($P$2:$P$8,L588))),INDEX(Candidates!$A$1:$Z$500,K588,INDEX($P$2:$P$8,L588)),""))</f>
        <v/>
      </c>
      <c r="G588" s="85" t="str">
        <f aca="false">IF(A588="","",INDEX($Q$2:$Q$8,L588))</f>
        <v/>
      </c>
      <c r="H588" s="85" t="str">
        <f aca="false">IF(A588="","",IF(F588="","Not yet scored",IF(F588&gt;=G588,"Pass","Fail")))</f>
        <v/>
      </c>
      <c r="I588" s="85" t="str">
        <f aca="false">IF(A588="","",INDEX(Candidates!$B$1:$B$500,K588))</f>
        <v/>
      </c>
      <c r="K588" s="86" t="n">
        <f aca="false">INT((ROW()-2)/7)+2</f>
        <v>85</v>
      </c>
      <c r="L588" s="86" t="n">
        <f aca="false">MOD(ROW()-2,7)+1</f>
        <v>6</v>
      </c>
    </row>
    <row r="589" customFormat="false" ht="15" hidden="false" customHeight="false" outlineLevel="0" collapsed="false">
      <c r="A589" s="85" t="str">
        <f aca="false">IF(INDEX(Candidates!$A$1:$A$500,K589)="","",INDEX(Candidates!$A$1:$A$500,K589))</f>
        <v/>
      </c>
      <c r="B589" s="85" t="str">
        <f aca="false">IF(A589="","",INDEX(Candidates!$C$1:$C$500,K589))</f>
        <v/>
      </c>
      <c r="C589" s="85" t="str">
        <f aca="false">IF(A589="","",INDEX(Candidates!$D$1:$D$500,K589))</f>
        <v/>
      </c>
      <c r="D589" s="85" t="str">
        <f aca="false">IF(A589="","",L589)</f>
        <v/>
      </c>
      <c r="E589" s="85" t="str">
        <f aca="false">IF(A589="","",INDEX($O$2:$O$8,L589))</f>
        <v/>
      </c>
      <c r="F589" s="85" t="str">
        <f aca="false">IF(A589="","",IF(ISNUMBER(INDEX(Candidates!$A$1:$Z$500,K589,INDEX($P$2:$P$8,L589))),INDEX(Candidates!$A$1:$Z$500,K589,INDEX($P$2:$P$8,L589)),""))</f>
        <v/>
      </c>
      <c r="G589" s="85" t="str">
        <f aca="false">IF(A589="","",INDEX($Q$2:$Q$8,L589))</f>
        <v/>
      </c>
      <c r="H589" s="85" t="str">
        <f aca="false">IF(A589="","",IF(F589="","Not yet scored",IF(F589&gt;=G589,"Pass","Fail")))</f>
        <v/>
      </c>
      <c r="I589" s="85" t="str">
        <f aca="false">IF(A589="","",INDEX(Candidates!$B$1:$B$500,K589))</f>
        <v/>
      </c>
      <c r="K589" s="86" t="n">
        <f aca="false">INT((ROW()-2)/7)+2</f>
        <v>85</v>
      </c>
      <c r="L589" s="86" t="n">
        <f aca="false">MOD(ROW()-2,7)+1</f>
        <v>7</v>
      </c>
    </row>
    <row r="590" customFormat="false" ht="15" hidden="false" customHeight="false" outlineLevel="0" collapsed="false">
      <c r="A590" s="85" t="str">
        <f aca="false">IF(INDEX(Candidates!$A$1:$A$500,K590)="","",INDEX(Candidates!$A$1:$A$500,K590))</f>
        <v/>
      </c>
      <c r="B590" s="85" t="str">
        <f aca="false">IF(A590="","",INDEX(Candidates!$C$1:$C$500,K590))</f>
        <v/>
      </c>
      <c r="C590" s="85" t="str">
        <f aca="false">IF(A590="","",INDEX(Candidates!$D$1:$D$500,K590))</f>
        <v/>
      </c>
      <c r="D590" s="85" t="str">
        <f aca="false">IF(A590="","",L590)</f>
        <v/>
      </c>
      <c r="E590" s="85" t="str">
        <f aca="false">IF(A590="","",INDEX($O$2:$O$8,L590))</f>
        <v/>
      </c>
      <c r="F590" s="85" t="str">
        <f aca="false">IF(A590="","",IF(ISNUMBER(INDEX(Candidates!$A$1:$Z$500,K590,INDEX($P$2:$P$8,L590))),INDEX(Candidates!$A$1:$Z$500,K590,INDEX($P$2:$P$8,L590)),""))</f>
        <v/>
      </c>
      <c r="G590" s="85" t="str">
        <f aca="false">IF(A590="","",INDEX($Q$2:$Q$8,L590))</f>
        <v/>
      </c>
      <c r="H590" s="85" t="str">
        <f aca="false">IF(A590="","",IF(F590="","Not yet scored",IF(F590&gt;=G590,"Pass","Fail")))</f>
        <v/>
      </c>
      <c r="I590" s="85" t="str">
        <f aca="false">IF(A590="","",INDEX(Candidates!$B$1:$B$500,K590))</f>
        <v/>
      </c>
      <c r="K590" s="86" t="n">
        <f aca="false">INT((ROW()-2)/7)+2</f>
        <v>86</v>
      </c>
      <c r="L590" s="86" t="n">
        <f aca="false">MOD(ROW()-2,7)+1</f>
        <v>1</v>
      </c>
    </row>
    <row r="591" customFormat="false" ht="15" hidden="false" customHeight="false" outlineLevel="0" collapsed="false">
      <c r="A591" s="85" t="str">
        <f aca="false">IF(INDEX(Candidates!$A$1:$A$500,K591)="","",INDEX(Candidates!$A$1:$A$500,K591))</f>
        <v/>
      </c>
      <c r="B591" s="85" t="str">
        <f aca="false">IF(A591="","",INDEX(Candidates!$C$1:$C$500,K591))</f>
        <v/>
      </c>
      <c r="C591" s="85" t="str">
        <f aca="false">IF(A591="","",INDEX(Candidates!$D$1:$D$500,K591))</f>
        <v/>
      </c>
      <c r="D591" s="85" t="str">
        <f aca="false">IF(A591="","",L591)</f>
        <v/>
      </c>
      <c r="E591" s="85" t="str">
        <f aca="false">IF(A591="","",INDEX($O$2:$O$8,L591))</f>
        <v/>
      </c>
      <c r="F591" s="85" t="str">
        <f aca="false">IF(A591="","",IF(ISNUMBER(INDEX(Candidates!$A$1:$Z$500,K591,INDEX($P$2:$P$8,L591))),INDEX(Candidates!$A$1:$Z$500,K591,INDEX($P$2:$P$8,L591)),""))</f>
        <v/>
      </c>
      <c r="G591" s="85" t="str">
        <f aca="false">IF(A591="","",INDEX($Q$2:$Q$8,L591))</f>
        <v/>
      </c>
      <c r="H591" s="85" t="str">
        <f aca="false">IF(A591="","",IF(F591="","Not yet scored",IF(F591&gt;=G591,"Pass","Fail")))</f>
        <v/>
      </c>
      <c r="I591" s="85" t="str">
        <f aca="false">IF(A591="","",INDEX(Candidates!$B$1:$B$500,K591))</f>
        <v/>
      </c>
      <c r="K591" s="86" t="n">
        <f aca="false">INT((ROW()-2)/7)+2</f>
        <v>86</v>
      </c>
      <c r="L591" s="86" t="n">
        <f aca="false">MOD(ROW()-2,7)+1</f>
        <v>2</v>
      </c>
    </row>
    <row r="592" customFormat="false" ht="15" hidden="false" customHeight="false" outlineLevel="0" collapsed="false">
      <c r="A592" s="85" t="str">
        <f aca="false">IF(INDEX(Candidates!$A$1:$A$500,K592)="","",INDEX(Candidates!$A$1:$A$500,K592))</f>
        <v/>
      </c>
      <c r="B592" s="85" t="str">
        <f aca="false">IF(A592="","",INDEX(Candidates!$C$1:$C$500,K592))</f>
        <v/>
      </c>
      <c r="C592" s="85" t="str">
        <f aca="false">IF(A592="","",INDEX(Candidates!$D$1:$D$500,K592))</f>
        <v/>
      </c>
      <c r="D592" s="85" t="str">
        <f aca="false">IF(A592="","",L592)</f>
        <v/>
      </c>
      <c r="E592" s="85" t="str">
        <f aca="false">IF(A592="","",INDEX($O$2:$O$8,L592))</f>
        <v/>
      </c>
      <c r="F592" s="85" t="str">
        <f aca="false">IF(A592="","",IF(ISNUMBER(INDEX(Candidates!$A$1:$Z$500,K592,INDEX($P$2:$P$8,L592))),INDEX(Candidates!$A$1:$Z$500,K592,INDEX($P$2:$P$8,L592)),""))</f>
        <v/>
      </c>
      <c r="G592" s="85" t="str">
        <f aca="false">IF(A592="","",INDEX($Q$2:$Q$8,L592))</f>
        <v/>
      </c>
      <c r="H592" s="85" t="str">
        <f aca="false">IF(A592="","",IF(F592="","Not yet scored",IF(F592&gt;=G592,"Pass","Fail")))</f>
        <v/>
      </c>
      <c r="I592" s="85" t="str">
        <f aca="false">IF(A592="","",INDEX(Candidates!$B$1:$B$500,K592))</f>
        <v/>
      </c>
      <c r="K592" s="86" t="n">
        <f aca="false">INT((ROW()-2)/7)+2</f>
        <v>86</v>
      </c>
      <c r="L592" s="86" t="n">
        <f aca="false">MOD(ROW()-2,7)+1</f>
        <v>3</v>
      </c>
    </row>
    <row r="593" customFormat="false" ht="15" hidden="false" customHeight="false" outlineLevel="0" collapsed="false">
      <c r="A593" s="85" t="str">
        <f aca="false">IF(INDEX(Candidates!$A$1:$A$500,K593)="","",INDEX(Candidates!$A$1:$A$500,K593))</f>
        <v/>
      </c>
      <c r="B593" s="85" t="str">
        <f aca="false">IF(A593="","",INDEX(Candidates!$C$1:$C$500,K593))</f>
        <v/>
      </c>
      <c r="C593" s="85" t="str">
        <f aca="false">IF(A593="","",INDEX(Candidates!$D$1:$D$500,K593))</f>
        <v/>
      </c>
      <c r="D593" s="85" t="str">
        <f aca="false">IF(A593="","",L593)</f>
        <v/>
      </c>
      <c r="E593" s="85" t="str">
        <f aca="false">IF(A593="","",INDEX($O$2:$O$8,L593))</f>
        <v/>
      </c>
      <c r="F593" s="85" t="str">
        <f aca="false">IF(A593="","",IF(ISNUMBER(INDEX(Candidates!$A$1:$Z$500,K593,INDEX($P$2:$P$8,L593))),INDEX(Candidates!$A$1:$Z$500,K593,INDEX($P$2:$P$8,L593)),""))</f>
        <v/>
      </c>
      <c r="G593" s="85" t="str">
        <f aca="false">IF(A593="","",INDEX($Q$2:$Q$8,L593))</f>
        <v/>
      </c>
      <c r="H593" s="85" t="str">
        <f aca="false">IF(A593="","",IF(F593="","Not yet scored",IF(F593&gt;=G593,"Pass","Fail")))</f>
        <v/>
      </c>
      <c r="I593" s="85" t="str">
        <f aca="false">IF(A593="","",INDEX(Candidates!$B$1:$B$500,K593))</f>
        <v/>
      </c>
      <c r="K593" s="86" t="n">
        <f aca="false">INT((ROW()-2)/7)+2</f>
        <v>86</v>
      </c>
      <c r="L593" s="86" t="n">
        <f aca="false">MOD(ROW()-2,7)+1</f>
        <v>4</v>
      </c>
    </row>
    <row r="594" customFormat="false" ht="15" hidden="false" customHeight="false" outlineLevel="0" collapsed="false">
      <c r="A594" s="85" t="str">
        <f aca="false">IF(INDEX(Candidates!$A$1:$A$500,K594)="","",INDEX(Candidates!$A$1:$A$500,K594))</f>
        <v/>
      </c>
      <c r="B594" s="85" t="str">
        <f aca="false">IF(A594="","",INDEX(Candidates!$C$1:$C$500,K594))</f>
        <v/>
      </c>
      <c r="C594" s="85" t="str">
        <f aca="false">IF(A594="","",INDEX(Candidates!$D$1:$D$500,K594))</f>
        <v/>
      </c>
      <c r="D594" s="85" t="str">
        <f aca="false">IF(A594="","",L594)</f>
        <v/>
      </c>
      <c r="E594" s="85" t="str">
        <f aca="false">IF(A594="","",INDEX($O$2:$O$8,L594))</f>
        <v/>
      </c>
      <c r="F594" s="85" t="str">
        <f aca="false">IF(A594="","",IF(ISNUMBER(INDEX(Candidates!$A$1:$Z$500,K594,INDEX($P$2:$P$8,L594))),INDEX(Candidates!$A$1:$Z$500,K594,INDEX($P$2:$P$8,L594)),""))</f>
        <v/>
      </c>
      <c r="G594" s="85" t="str">
        <f aca="false">IF(A594="","",INDEX($Q$2:$Q$8,L594))</f>
        <v/>
      </c>
      <c r="H594" s="85" t="str">
        <f aca="false">IF(A594="","",IF(F594="","Not yet scored",IF(F594&gt;=G594,"Pass","Fail")))</f>
        <v/>
      </c>
      <c r="I594" s="85" t="str">
        <f aca="false">IF(A594="","",INDEX(Candidates!$B$1:$B$500,K594))</f>
        <v/>
      </c>
      <c r="K594" s="86" t="n">
        <f aca="false">INT((ROW()-2)/7)+2</f>
        <v>86</v>
      </c>
      <c r="L594" s="86" t="n">
        <f aca="false">MOD(ROW()-2,7)+1</f>
        <v>5</v>
      </c>
    </row>
    <row r="595" customFormat="false" ht="15" hidden="false" customHeight="false" outlineLevel="0" collapsed="false">
      <c r="A595" s="85" t="str">
        <f aca="false">IF(INDEX(Candidates!$A$1:$A$500,K595)="","",INDEX(Candidates!$A$1:$A$500,K595))</f>
        <v/>
      </c>
      <c r="B595" s="85" t="str">
        <f aca="false">IF(A595="","",INDEX(Candidates!$C$1:$C$500,K595))</f>
        <v/>
      </c>
      <c r="C595" s="85" t="str">
        <f aca="false">IF(A595="","",INDEX(Candidates!$D$1:$D$500,K595))</f>
        <v/>
      </c>
      <c r="D595" s="85" t="str">
        <f aca="false">IF(A595="","",L595)</f>
        <v/>
      </c>
      <c r="E595" s="85" t="str">
        <f aca="false">IF(A595="","",INDEX($O$2:$O$8,L595))</f>
        <v/>
      </c>
      <c r="F595" s="85" t="str">
        <f aca="false">IF(A595="","",IF(ISNUMBER(INDEX(Candidates!$A$1:$Z$500,K595,INDEX($P$2:$P$8,L595))),INDEX(Candidates!$A$1:$Z$500,K595,INDEX($P$2:$P$8,L595)),""))</f>
        <v/>
      </c>
      <c r="G595" s="85" t="str">
        <f aca="false">IF(A595="","",INDEX($Q$2:$Q$8,L595))</f>
        <v/>
      </c>
      <c r="H595" s="85" t="str">
        <f aca="false">IF(A595="","",IF(F595="","Not yet scored",IF(F595&gt;=G595,"Pass","Fail")))</f>
        <v/>
      </c>
      <c r="I595" s="85" t="str">
        <f aca="false">IF(A595="","",INDEX(Candidates!$B$1:$B$500,K595))</f>
        <v/>
      </c>
      <c r="K595" s="86" t="n">
        <f aca="false">INT((ROW()-2)/7)+2</f>
        <v>86</v>
      </c>
      <c r="L595" s="86" t="n">
        <f aca="false">MOD(ROW()-2,7)+1</f>
        <v>6</v>
      </c>
    </row>
    <row r="596" customFormat="false" ht="15" hidden="false" customHeight="false" outlineLevel="0" collapsed="false">
      <c r="A596" s="85" t="str">
        <f aca="false">IF(INDEX(Candidates!$A$1:$A$500,K596)="","",INDEX(Candidates!$A$1:$A$500,K596))</f>
        <v/>
      </c>
      <c r="B596" s="85" t="str">
        <f aca="false">IF(A596="","",INDEX(Candidates!$C$1:$C$500,K596))</f>
        <v/>
      </c>
      <c r="C596" s="85" t="str">
        <f aca="false">IF(A596="","",INDEX(Candidates!$D$1:$D$500,K596))</f>
        <v/>
      </c>
      <c r="D596" s="85" t="str">
        <f aca="false">IF(A596="","",L596)</f>
        <v/>
      </c>
      <c r="E596" s="85" t="str">
        <f aca="false">IF(A596="","",INDEX($O$2:$O$8,L596))</f>
        <v/>
      </c>
      <c r="F596" s="85" t="str">
        <f aca="false">IF(A596="","",IF(ISNUMBER(INDEX(Candidates!$A$1:$Z$500,K596,INDEX($P$2:$P$8,L596))),INDEX(Candidates!$A$1:$Z$500,K596,INDEX($P$2:$P$8,L596)),""))</f>
        <v/>
      </c>
      <c r="G596" s="85" t="str">
        <f aca="false">IF(A596="","",INDEX($Q$2:$Q$8,L596))</f>
        <v/>
      </c>
      <c r="H596" s="85" t="str">
        <f aca="false">IF(A596="","",IF(F596="","Not yet scored",IF(F596&gt;=G596,"Pass","Fail")))</f>
        <v/>
      </c>
      <c r="I596" s="85" t="str">
        <f aca="false">IF(A596="","",INDEX(Candidates!$B$1:$B$500,K596))</f>
        <v/>
      </c>
      <c r="K596" s="86" t="n">
        <f aca="false">INT((ROW()-2)/7)+2</f>
        <v>86</v>
      </c>
      <c r="L596" s="86" t="n">
        <f aca="false">MOD(ROW()-2,7)+1</f>
        <v>7</v>
      </c>
    </row>
    <row r="597" customFormat="false" ht="15" hidden="false" customHeight="false" outlineLevel="0" collapsed="false">
      <c r="A597" s="85" t="str">
        <f aca="false">IF(INDEX(Candidates!$A$1:$A$500,K597)="","",INDEX(Candidates!$A$1:$A$500,K597))</f>
        <v/>
      </c>
      <c r="B597" s="85" t="str">
        <f aca="false">IF(A597="","",INDEX(Candidates!$C$1:$C$500,K597))</f>
        <v/>
      </c>
      <c r="C597" s="85" t="str">
        <f aca="false">IF(A597="","",INDEX(Candidates!$D$1:$D$500,K597))</f>
        <v/>
      </c>
      <c r="D597" s="85" t="str">
        <f aca="false">IF(A597="","",L597)</f>
        <v/>
      </c>
      <c r="E597" s="85" t="str">
        <f aca="false">IF(A597="","",INDEX($O$2:$O$8,L597))</f>
        <v/>
      </c>
      <c r="F597" s="85" t="str">
        <f aca="false">IF(A597="","",IF(ISNUMBER(INDEX(Candidates!$A$1:$Z$500,K597,INDEX($P$2:$P$8,L597))),INDEX(Candidates!$A$1:$Z$500,K597,INDEX($P$2:$P$8,L597)),""))</f>
        <v/>
      </c>
      <c r="G597" s="85" t="str">
        <f aca="false">IF(A597="","",INDEX($Q$2:$Q$8,L597))</f>
        <v/>
      </c>
      <c r="H597" s="85" t="str">
        <f aca="false">IF(A597="","",IF(F597="","Not yet scored",IF(F597&gt;=G597,"Pass","Fail")))</f>
        <v/>
      </c>
      <c r="I597" s="85" t="str">
        <f aca="false">IF(A597="","",INDEX(Candidates!$B$1:$B$500,K597))</f>
        <v/>
      </c>
      <c r="K597" s="86" t="n">
        <f aca="false">INT((ROW()-2)/7)+2</f>
        <v>87</v>
      </c>
      <c r="L597" s="86" t="n">
        <f aca="false">MOD(ROW()-2,7)+1</f>
        <v>1</v>
      </c>
    </row>
    <row r="598" customFormat="false" ht="15" hidden="false" customHeight="false" outlineLevel="0" collapsed="false">
      <c r="A598" s="85" t="str">
        <f aca="false">IF(INDEX(Candidates!$A$1:$A$500,K598)="","",INDEX(Candidates!$A$1:$A$500,K598))</f>
        <v/>
      </c>
      <c r="B598" s="85" t="str">
        <f aca="false">IF(A598="","",INDEX(Candidates!$C$1:$C$500,K598))</f>
        <v/>
      </c>
      <c r="C598" s="85" t="str">
        <f aca="false">IF(A598="","",INDEX(Candidates!$D$1:$D$500,K598))</f>
        <v/>
      </c>
      <c r="D598" s="85" t="str">
        <f aca="false">IF(A598="","",L598)</f>
        <v/>
      </c>
      <c r="E598" s="85" t="str">
        <f aca="false">IF(A598="","",INDEX($O$2:$O$8,L598))</f>
        <v/>
      </c>
      <c r="F598" s="85" t="str">
        <f aca="false">IF(A598="","",IF(ISNUMBER(INDEX(Candidates!$A$1:$Z$500,K598,INDEX($P$2:$P$8,L598))),INDEX(Candidates!$A$1:$Z$500,K598,INDEX($P$2:$P$8,L598)),""))</f>
        <v/>
      </c>
      <c r="G598" s="85" t="str">
        <f aca="false">IF(A598="","",INDEX($Q$2:$Q$8,L598))</f>
        <v/>
      </c>
      <c r="H598" s="85" t="str">
        <f aca="false">IF(A598="","",IF(F598="","Not yet scored",IF(F598&gt;=G598,"Pass","Fail")))</f>
        <v/>
      </c>
      <c r="I598" s="85" t="str">
        <f aca="false">IF(A598="","",INDEX(Candidates!$B$1:$B$500,K598))</f>
        <v/>
      </c>
      <c r="K598" s="86" t="n">
        <f aca="false">INT((ROW()-2)/7)+2</f>
        <v>87</v>
      </c>
      <c r="L598" s="86" t="n">
        <f aca="false">MOD(ROW()-2,7)+1</f>
        <v>2</v>
      </c>
    </row>
    <row r="599" customFormat="false" ht="15" hidden="false" customHeight="false" outlineLevel="0" collapsed="false">
      <c r="A599" s="85" t="str">
        <f aca="false">IF(INDEX(Candidates!$A$1:$A$500,K599)="","",INDEX(Candidates!$A$1:$A$500,K599))</f>
        <v/>
      </c>
      <c r="B599" s="85" t="str">
        <f aca="false">IF(A599="","",INDEX(Candidates!$C$1:$C$500,K599))</f>
        <v/>
      </c>
      <c r="C599" s="85" t="str">
        <f aca="false">IF(A599="","",INDEX(Candidates!$D$1:$D$500,K599))</f>
        <v/>
      </c>
      <c r="D599" s="85" t="str">
        <f aca="false">IF(A599="","",L599)</f>
        <v/>
      </c>
      <c r="E599" s="85" t="str">
        <f aca="false">IF(A599="","",INDEX($O$2:$O$8,L599))</f>
        <v/>
      </c>
      <c r="F599" s="85" t="str">
        <f aca="false">IF(A599="","",IF(ISNUMBER(INDEX(Candidates!$A$1:$Z$500,K599,INDEX($P$2:$P$8,L599))),INDEX(Candidates!$A$1:$Z$500,K599,INDEX($P$2:$P$8,L599)),""))</f>
        <v/>
      </c>
      <c r="G599" s="85" t="str">
        <f aca="false">IF(A599="","",INDEX($Q$2:$Q$8,L599))</f>
        <v/>
      </c>
      <c r="H599" s="85" t="str">
        <f aca="false">IF(A599="","",IF(F599="","Not yet scored",IF(F599&gt;=G599,"Pass","Fail")))</f>
        <v/>
      </c>
      <c r="I599" s="85" t="str">
        <f aca="false">IF(A599="","",INDEX(Candidates!$B$1:$B$500,K599))</f>
        <v/>
      </c>
      <c r="K599" s="86" t="n">
        <f aca="false">INT((ROW()-2)/7)+2</f>
        <v>87</v>
      </c>
      <c r="L599" s="86" t="n">
        <f aca="false">MOD(ROW()-2,7)+1</f>
        <v>3</v>
      </c>
    </row>
    <row r="600" customFormat="false" ht="15" hidden="false" customHeight="false" outlineLevel="0" collapsed="false">
      <c r="A600" s="85" t="str">
        <f aca="false">IF(INDEX(Candidates!$A$1:$A$500,K600)="","",INDEX(Candidates!$A$1:$A$500,K600))</f>
        <v/>
      </c>
      <c r="B600" s="85" t="str">
        <f aca="false">IF(A600="","",INDEX(Candidates!$C$1:$C$500,K600))</f>
        <v/>
      </c>
      <c r="C600" s="85" t="str">
        <f aca="false">IF(A600="","",INDEX(Candidates!$D$1:$D$500,K600))</f>
        <v/>
      </c>
      <c r="D600" s="85" t="str">
        <f aca="false">IF(A600="","",L600)</f>
        <v/>
      </c>
      <c r="E600" s="85" t="str">
        <f aca="false">IF(A600="","",INDEX($O$2:$O$8,L600))</f>
        <v/>
      </c>
      <c r="F600" s="85" t="str">
        <f aca="false">IF(A600="","",IF(ISNUMBER(INDEX(Candidates!$A$1:$Z$500,K600,INDEX($P$2:$P$8,L600))),INDEX(Candidates!$A$1:$Z$500,K600,INDEX($P$2:$P$8,L600)),""))</f>
        <v/>
      </c>
      <c r="G600" s="85" t="str">
        <f aca="false">IF(A600="","",INDEX($Q$2:$Q$8,L600))</f>
        <v/>
      </c>
      <c r="H600" s="85" t="str">
        <f aca="false">IF(A600="","",IF(F600="","Not yet scored",IF(F600&gt;=G600,"Pass","Fail")))</f>
        <v/>
      </c>
      <c r="I600" s="85" t="str">
        <f aca="false">IF(A600="","",INDEX(Candidates!$B$1:$B$500,K600))</f>
        <v/>
      </c>
      <c r="K600" s="86" t="n">
        <f aca="false">INT((ROW()-2)/7)+2</f>
        <v>87</v>
      </c>
      <c r="L600" s="86" t="n">
        <f aca="false">MOD(ROW()-2,7)+1</f>
        <v>4</v>
      </c>
    </row>
    <row r="601" customFormat="false" ht="15" hidden="false" customHeight="false" outlineLevel="0" collapsed="false">
      <c r="A601" s="85" t="str">
        <f aca="false">IF(INDEX(Candidates!$A$1:$A$500,K601)="","",INDEX(Candidates!$A$1:$A$500,K601))</f>
        <v/>
      </c>
      <c r="B601" s="85" t="str">
        <f aca="false">IF(A601="","",INDEX(Candidates!$C$1:$C$500,K601))</f>
        <v/>
      </c>
      <c r="C601" s="85" t="str">
        <f aca="false">IF(A601="","",INDEX(Candidates!$D$1:$D$500,K601))</f>
        <v/>
      </c>
      <c r="D601" s="85" t="str">
        <f aca="false">IF(A601="","",L601)</f>
        <v/>
      </c>
      <c r="E601" s="85" t="str">
        <f aca="false">IF(A601="","",INDEX($O$2:$O$8,L601))</f>
        <v/>
      </c>
      <c r="F601" s="85" t="str">
        <f aca="false">IF(A601="","",IF(ISNUMBER(INDEX(Candidates!$A$1:$Z$500,K601,INDEX($P$2:$P$8,L601))),INDEX(Candidates!$A$1:$Z$500,K601,INDEX($P$2:$P$8,L601)),""))</f>
        <v/>
      </c>
      <c r="G601" s="85" t="str">
        <f aca="false">IF(A601="","",INDEX($Q$2:$Q$8,L601))</f>
        <v/>
      </c>
      <c r="H601" s="85" t="str">
        <f aca="false">IF(A601="","",IF(F601="","Not yet scored",IF(F601&gt;=G601,"Pass","Fail")))</f>
        <v/>
      </c>
      <c r="I601" s="85" t="str">
        <f aca="false">IF(A601="","",INDEX(Candidates!$B$1:$B$500,K601))</f>
        <v/>
      </c>
      <c r="K601" s="86" t="n">
        <f aca="false">INT((ROW()-2)/7)+2</f>
        <v>87</v>
      </c>
      <c r="L601" s="86" t="n">
        <f aca="false">MOD(ROW()-2,7)+1</f>
        <v>5</v>
      </c>
    </row>
    <row r="602" customFormat="false" ht="15" hidden="false" customHeight="false" outlineLevel="0" collapsed="false">
      <c r="A602" s="85" t="str">
        <f aca="false">IF(INDEX(Candidates!$A$1:$A$500,K602)="","",INDEX(Candidates!$A$1:$A$500,K602))</f>
        <v/>
      </c>
      <c r="B602" s="85" t="str">
        <f aca="false">IF(A602="","",INDEX(Candidates!$C$1:$C$500,K602))</f>
        <v/>
      </c>
      <c r="C602" s="85" t="str">
        <f aca="false">IF(A602="","",INDEX(Candidates!$D$1:$D$500,K602))</f>
        <v/>
      </c>
      <c r="D602" s="85" t="str">
        <f aca="false">IF(A602="","",L602)</f>
        <v/>
      </c>
      <c r="E602" s="85" t="str">
        <f aca="false">IF(A602="","",INDEX($O$2:$O$8,L602))</f>
        <v/>
      </c>
      <c r="F602" s="85" t="str">
        <f aca="false">IF(A602="","",IF(ISNUMBER(INDEX(Candidates!$A$1:$Z$500,K602,INDEX($P$2:$P$8,L602))),INDEX(Candidates!$A$1:$Z$500,K602,INDEX($P$2:$P$8,L602)),""))</f>
        <v/>
      </c>
      <c r="G602" s="85" t="str">
        <f aca="false">IF(A602="","",INDEX($Q$2:$Q$8,L602))</f>
        <v/>
      </c>
      <c r="H602" s="85" t="str">
        <f aca="false">IF(A602="","",IF(F602="","Not yet scored",IF(F602&gt;=G602,"Pass","Fail")))</f>
        <v/>
      </c>
      <c r="I602" s="85" t="str">
        <f aca="false">IF(A602="","",INDEX(Candidates!$B$1:$B$500,K602))</f>
        <v/>
      </c>
      <c r="K602" s="86" t="n">
        <f aca="false">INT((ROW()-2)/7)+2</f>
        <v>87</v>
      </c>
      <c r="L602" s="86" t="n">
        <f aca="false">MOD(ROW()-2,7)+1</f>
        <v>6</v>
      </c>
    </row>
    <row r="603" customFormat="false" ht="15" hidden="false" customHeight="false" outlineLevel="0" collapsed="false">
      <c r="A603" s="85" t="str">
        <f aca="false">IF(INDEX(Candidates!$A$1:$A$500,K603)="","",INDEX(Candidates!$A$1:$A$500,K603))</f>
        <v/>
      </c>
      <c r="B603" s="85" t="str">
        <f aca="false">IF(A603="","",INDEX(Candidates!$C$1:$C$500,K603))</f>
        <v/>
      </c>
      <c r="C603" s="85" t="str">
        <f aca="false">IF(A603="","",INDEX(Candidates!$D$1:$D$500,K603))</f>
        <v/>
      </c>
      <c r="D603" s="85" t="str">
        <f aca="false">IF(A603="","",L603)</f>
        <v/>
      </c>
      <c r="E603" s="85" t="str">
        <f aca="false">IF(A603="","",INDEX($O$2:$O$8,L603))</f>
        <v/>
      </c>
      <c r="F603" s="85" t="str">
        <f aca="false">IF(A603="","",IF(ISNUMBER(INDEX(Candidates!$A$1:$Z$500,K603,INDEX($P$2:$P$8,L603))),INDEX(Candidates!$A$1:$Z$500,K603,INDEX($P$2:$P$8,L603)),""))</f>
        <v/>
      </c>
      <c r="G603" s="85" t="str">
        <f aca="false">IF(A603="","",INDEX($Q$2:$Q$8,L603))</f>
        <v/>
      </c>
      <c r="H603" s="85" t="str">
        <f aca="false">IF(A603="","",IF(F603="","Not yet scored",IF(F603&gt;=G603,"Pass","Fail")))</f>
        <v/>
      </c>
      <c r="I603" s="85" t="str">
        <f aca="false">IF(A603="","",INDEX(Candidates!$B$1:$B$500,K603))</f>
        <v/>
      </c>
      <c r="K603" s="86" t="n">
        <f aca="false">INT((ROW()-2)/7)+2</f>
        <v>87</v>
      </c>
      <c r="L603" s="86" t="n">
        <f aca="false">MOD(ROW()-2,7)+1</f>
        <v>7</v>
      </c>
    </row>
    <row r="604" customFormat="false" ht="15" hidden="false" customHeight="false" outlineLevel="0" collapsed="false">
      <c r="A604" s="85" t="str">
        <f aca="false">IF(INDEX(Candidates!$A$1:$A$500,K604)="","",INDEX(Candidates!$A$1:$A$500,K604))</f>
        <v/>
      </c>
      <c r="B604" s="85" t="str">
        <f aca="false">IF(A604="","",INDEX(Candidates!$C$1:$C$500,K604))</f>
        <v/>
      </c>
      <c r="C604" s="85" t="str">
        <f aca="false">IF(A604="","",INDEX(Candidates!$D$1:$D$500,K604))</f>
        <v/>
      </c>
      <c r="D604" s="85" t="str">
        <f aca="false">IF(A604="","",L604)</f>
        <v/>
      </c>
      <c r="E604" s="85" t="str">
        <f aca="false">IF(A604="","",INDEX($O$2:$O$8,L604))</f>
        <v/>
      </c>
      <c r="F604" s="85" t="str">
        <f aca="false">IF(A604="","",IF(ISNUMBER(INDEX(Candidates!$A$1:$Z$500,K604,INDEX($P$2:$P$8,L604))),INDEX(Candidates!$A$1:$Z$500,K604,INDEX($P$2:$P$8,L604)),""))</f>
        <v/>
      </c>
      <c r="G604" s="85" t="str">
        <f aca="false">IF(A604="","",INDEX($Q$2:$Q$8,L604))</f>
        <v/>
      </c>
      <c r="H604" s="85" t="str">
        <f aca="false">IF(A604="","",IF(F604="","Not yet scored",IF(F604&gt;=G604,"Pass","Fail")))</f>
        <v/>
      </c>
      <c r="I604" s="85" t="str">
        <f aca="false">IF(A604="","",INDEX(Candidates!$B$1:$B$500,K604))</f>
        <v/>
      </c>
      <c r="K604" s="86" t="n">
        <f aca="false">INT((ROW()-2)/7)+2</f>
        <v>88</v>
      </c>
      <c r="L604" s="86" t="n">
        <f aca="false">MOD(ROW()-2,7)+1</f>
        <v>1</v>
      </c>
    </row>
    <row r="605" customFormat="false" ht="15" hidden="false" customHeight="false" outlineLevel="0" collapsed="false">
      <c r="A605" s="85" t="str">
        <f aca="false">IF(INDEX(Candidates!$A$1:$A$500,K605)="","",INDEX(Candidates!$A$1:$A$500,K605))</f>
        <v/>
      </c>
      <c r="B605" s="85" t="str">
        <f aca="false">IF(A605="","",INDEX(Candidates!$C$1:$C$500,K605))</f>
        <v/>
      </c>
      <c r="C605" s="85" t="str">
        <f aca="false">IF(A605="","",INDEX(Candidates!$D$1:$D$500,K605))</f>
        <v/>
      </c>
      <c r="D605" s="85" t="str">
        <f aca="false">IF(A605="","",L605)</f>
        <v/>
      </c>
      <c r="E605" s="85" t="str">
        <f aca="false">IF(A605="","",INDEX($O$2:$O$8,L605))</f>
        <v/>
      </c>
      <c r="F605" s="85" t="str">
        <f aca="false">IF(A605="","",IF(ISNUMBER(INDEX(Candidates!$A$1:$Z$500,K605,INDEX($P$2:$P$8,L605))),INDEX(Candidates!$A$1:$Z$500,K605,INDEX($P$2:$P$8,L605)),""))</f>
        <v/>
      </c>
      <c r="G605" s="85" t="str">
        <f aca="false">IF(A605="","",INDEX($Q$2:$Q$8,L605))</f>
        <v/>
      </c>
      <c r="H605" s="85" t="str">
        <f aca="false">IF(A605="","",IF(F605="","Not yet scored",IF(F605&gt;=G605,"Pass","Fail")))</f>
        <v/>
      </c>
      <c r="I605" s="85" t="str">
        <f aca="false">IF(A605="","",INDEX(Candidates!$B$1:$B$500,K605))</f>
        <v/>
      </c>
      <c r="K605" s="86" t="n">
        <f aca="false">INT((ROW()-2)/7)+2</f>
        <v>88</v>
      </c>
      <c r="L605" s="86" t="n">
        <f aca="false">MOD(ROW()-2,7)+1</f>
        <v>2</v>
      </c>
    </row>
    <row r="606" customFormat="false" ht="15" hidden="false" customHeight="false" outlineLevel="0" collapsed="false">
      <c r="A606" s="85" t="str">
        <f aca="false">IF(INDEX(Candidates!$A$1:$A$500,K606)="","",INDEX(Candidates!$A$1:$A$500,K606))</f>
        <v/>
      </c>
      <c r="B606" s="85" t="str">
        <f aca="false">IF(A606="","",INDEX(Candidates!$C$1:$C$500,K606))</f>
        <v/>
      </c>
      <c r="C606" s="85" t="str">
        <f aca="false">IF(A606="","",INDEX(Candidates!$D$1:$D$500,K606))</f>
        <v/>
      </c>
      <c r="D606" s="85" t="str">
        <f aca="false">IF(A606="","",L606)</f>
        <v/>
      </c>
      <c r="E606" s="85" t="str">
        <f aca="false">IF(A606="","",INDEX($O$2:$O$8,L606))</f>
        <v/>
      </c>
      <c r="F606" s="85" t="str">
        <f aca="false">IF(A606="","",IF(ISNUMBER(INDEX(Candidates!$A$1:$Z$500,K606,INDEX($P$2:$P$8,L606))),INDEX(Candidates!$A$1:$Z$500,K606,INDEX($P$2:$P$8,L606)),""))</f>
        <v/>
      </c>
      <c r="G606" s="85" t="str">
        <f aca="false">IF(A606="","",INDEX($Q$2:$Q$8,L606))</f>
        <v/>
      </c>
      <c r="H606" s="85" t="str">
        <f aca="false">IF(A606="","",IF(F606="","Not yet scored",IF(F606&gt;=G606,"Pass","Fail")))</f>
        <v/>
      </c>
      <c r="I606" s="85" t="str">
        <f aca="false">IF(A606="","",INDEX(Candidates!$B$1:$B$500,K606))</f>
        <v/>
      </c>
      <c r="K606" s="86" t="n">
        <f aca="false">INT((ROW()-2)/7)+2</f>
        <v>88</v>
      </c>
      <c r="L606" s="86" t="n">
        <f aca="false">MOD(ROW()-2,7)+1</f>
        <v>3</v>
      </c>
    </row>
    <row r="607" customFormat="false" ht="15" hidden="false" customHeight="false" outlineLevel="0" collapsed="false">
      <c r="A607" s="85" t="str">
        <f aca="false">IF(INDEX(Candidates!$A$1:$A$500,K607)="","",INDEX(Candidates!$A$1:$A$500,K607))</f>
        <v/>
      </c>
      <c r="B607" s="85" t="str">
        <f aca="false">IF(A607="","",INDEX(Candidates!$C$1:$C$500,K607))</f>
        <v/>
      </c>
      <c r="C607" s="85" t="str">
        <f aca="false">IF(A607="","",INDEX(Candidates!$D$1:$D$500,K607))</f>
        <v/>
      </c>
      <c r="D607" s="85" t="str">
        <f aca="false">IF(A607="","",L607)</f>
        <v/>
      </c>
      <c r="E607" s="85" t="str">
        <f aca="false">IF(A607="","",INDEX($O$2:$O$8,L607))</f>
        <v/>
      </c>
      <c r="F607" s="85" t="str">
        <f aca="false">IF(A607="","",IF(ISNUMBER(INDEX(Candidates!$A$1:$Z$500,K607,INDEX($P$2:$P$8,L607))),INDEX(Candidates!$A$1:$Z$500,K607,INDEX($P$2:$P$8,L607)),""))</f>
        <v/>
      </c>
      <c r="G607" s="85" t="str">
        <f aca="false">IF(A607="","",INDEX($Q$2:$Q$8,L607))</f>
        <v/>
      </c>
      <c r="H607" s="85" t="str">
        <f aca="false">IF(A607="","",IF(F607="","Not yet scored",IF(F607&gt;=G607,"Pass","Fail")))</f>
        <v/>
      </c>
      <c r="I607" s="85" t="str">
        <f aca="false">IF(A607="","",INDEX(Candidates!$B$1:$B$500,K607))</f>
        <v/>
      </c>
      <c r="K607" s="86" t="n">
        <f aca="false">INT((ROW()-2)/7)+2</f>
        <v>88</v>
      </c>
      <c r="L607" s="86" t="n">
        <f aca="false">MOD(ROW()-2,7)+1</f>
        <v>4</v>
      </c>
    </row>
    <row r="608" customFormat="false" ht="15" hidden="false" customHeight="false" outlineLevel="0" collapsed="false">
      <c r="A608" s="85" t="str">
        <f aca="false">IF(INDEX(Candidates!$A$1:$A$500,K608)="","",INDEX(Candidates!$A$1:$A$500,K608))</f>
        <v/>
      </c>
      <c r="B608" s="85" t="str">
        <f aca="false">IF(A608="","",INDEX(Candidates!$C$1:$C$500,K608))</f>
        <v/>
      </c>
      <c r="C608" s="85" t="str">
        <f aca="false">IF(A608="","",INDEX(Candidates!$D$1:$D$500,K608))</f>
        <v/>
      </c>
      <c r="D608" s="85" t="str">
        <f aca="false">IF(A608="","",L608)</f>
        <v/>
      </c>
      <c r="E608" s="85" t="str">
        <f aca="false">IF(A608="","",INDEX($O$2:$O$8,L608))</f>
        <v/>
      </c>
      <c r="F608" s="85" t="str">
        <f aca="false">IF(A608="","",IF(ISNUMBER(INDEX(Candidates!$A$1:$Z$500,K608,INDEX($P$2:$P$8,L608))),INDEX(Candidates!$A$1:$Z$500,K608,INDEX($P$2:$P$8,L608)),""))</f>
        <v/>
      </c>
      <c r="G608" s="85" t="str">
        <f aca="false">IF(A608="","",INDEX($Q$2:$Q$8,L608))</f>
        <v/>
      </c>
      <c r="H608" s="85" t="str">
        <f aca="false">IF(A608="","",IF(F608="","Not yet scored",IF(F608&gt;=G608,"Pass","Fail")))</f>
        <v/>
      </c>
      <c r="I608" s="85" t="str">
        <f aca="false">IF(A608="","",INDEX(Candidates!$B$1:$B$500,K608))</f>
        <v/>
      </c>
      <c r="K608" s="86" t="n">
        <f aca="false">INT((ROW()-2)/7)+2</f>
        <v>88</v>
      </c>
      <c r="L608" s="86" t="n">
        <f aca="false">MOD(ROW()-2,7)+1</f>
        <v>5</v>
      </c>
    </row>
    <row r="609" customFormat="false" ht="15" hidden="false" customHeight="false" outlineLevel="0" collapsed="false">
      <c r="A609" s="85" t="str">
        <f aca="false">IF(INDEX(Candidates!$A$1:$A$500,K609)="","",INDEX(Candidates!$A$1:$A$500,K609))</f>
        <v/>
      </c>
      <c r="B609" s="85" t="str">
        <f aca="false">IF(A609="","",INDEX(Candidates!$C$1:$C$500,K609))</f>
        <v/>
      </c>
      <c r="C609" s="85" t="str">
        <f aca="false">IF(A609="","",INDEX(Candidates!$D$1:$D$500,K609))</f>
        <v/>
      </c>
      <c r="D609" s="85" t="str">
        <f aca="false">IF(A609="","",L609)</f>
        <v/>
      </c>
      <c r="E609" s="85" t="str">
        <f aca="false">IF(A609="","",INDEX($O$2:$O$8,L609))</f>
        <v/>
      </c>
      <c r="F609" s="85" t="str">
        <f aca="false">IF(A609="","",IF(ISNUMBER(INDEX(Candidates!$A$1:$Z$500,K609,INDEX($P$2:$P$8,L609))),INDEX(Candidates!$A$1:$Z$500,K609,INDEX($P$2:$P$8,L609)),""))</f>
        <v/>
      </c>
      <c r="G609" s="85" t="str">
        <f aca="false">IF(A609="","",INDEX($Q$2:$Q$8,L609))</f>
        <v/>
      </c>
      <c r="H609" s="85" t="str">
        <f aca="false">IF(A609="","",IF(F609="","Not yet scored",IF(F609&gt;=G609,"Pass","Fail")))</f>
        <v/>
      </c>
      <c r="I609" s="85" t="str">
        <f aca="false">IF(A609="","",INDEX(Candidates!$B$1:$B$500,K609))</f>
        <v/>
      </c>
      <c r="K609" s="86" t="n">
        <f aca="false">INT((ROW()-2)/7)+2</f>
        <v>88</v>
      </c>
      <c r="L609" s="86" t="n">
        <f aca="false">MOD(ROW()-2,7)+1</f>
        <v>6</v>
      </c>
    </row>
    <row r="610" customFormat="false" ht="15" hidden="false" customHeight="false" outlineLevel="0" collapsed="false">
      <c r="A610" s="85" t="str">
        <f aca="false">IF(INDEX(Candidates!$A$1:$A$500,K610)="","",INDEX(Candidates!$A$1:$A$500,K610))</f>
        <v/>
      </c>
      <c r="B610" s="85" t="str">
        <f aca="false">IF(A610="","",INDEX(Candidates!$C$1:$C$500,K610))</f>
        <v/>
      </c>
      <c r="C610" s="85" t="str">
        <f aca="false">IF(A610="","",INDEX(Candidates!$D$1:$D$500,K610))</f>
        <v/>
      </c>
      <c r="D610" s="85" t="str">
        <f aca="false">IF(A610="","",L610)</f>
        <v/>
      </c>
      <c r="E610" s="85" t="str">
        <f aca="false">IF(A610="","",INDEX($O$2:$O$8,L610))</f>
        <v/>
      </c>
      <c r="F610" s="85" t="str">
        <f aca="false">IF(A610="","",IF(ISNUMBER(INDEX(Candidates!$A$1:$Z$500,K610,INDEX($P$2:$P$8,L610))),INDEX(Candidates!$A$1:$Z$500,K610,INDEX($P$2:$P$8,L610)),""))</f>
        <v/>
      </c>
      <c r="G610" s="85" t="str">
        <f aca="false">IF(A610="","",INDEX($Q$2:$Q$8,L610))</f>
        <v/>
      </c>
      <c r="H610" s="85" t="str">
        <f aca="false">IF(A610="","",IF(F610="","Not yet scored",IF(F610&gt;=G610,"Pass","Fail")))</f>
        <v/>
      </c>
      <c r="I610" s="85" t="str">
        <f aca="false">IF(A610="","",INDEX(Candidates!$B$1:$B$500,K610))</f>
        <v/>
      </c>
      <c r="K610" s="86" t="n">
        <f aca="false">INT((ROW()-2)/7)+2</f>
        <v>88</v>
      </c>
      <c r="L610" s="86" t="n">
        <f aca="false">MOD(ROW()-2,7)+1</f>
        <v>7</v>
      </c>
    </row>
    <row r="611" customFormat="false" ht="15" hidden="false" customHeight="false" outlineLevel="0" collapsed="false">
      <c r="A611" s="85" t="str">
        <f aca="false">IF(INDEX(Candidates!$A$1:$A$500,K611)="","",INDEX(Candidates!$A$1:$A$500,K611))</f>
        <v/>
      </c>
      <c r="B611" s="85" t="str">
        <f aca="false">IF(A611="","",INDEX(Candidates!$C$1:$C$500,K611))</f>
        <v/>
      </c>
      <c r="C611" s="85" t="str">
        <f aca="false">IF(A611="","",INDEX(Candidates!$D$1:$D$500,K611))</f>
        <v/>
      </c>
      <c r="D611" s="85" t="str">
        <f aca="false">IF(A611="","",L611)</f>
        <v/>
      </c>
      <c r="E611" s="85" t="str">
        <f aca="false">IF(A611="","",INDEX($O$2:$O$8,L611))</f>
        <v/>
      </c>
      <c r="F611" s="85" t="str">
        <f aca="false">IF(A611="","",IF(ISNUMBER(INDEX(Candidates!$A$1:$Z$500,K611,INDEX($P$2:$P$8,L611))),INDEX(Candidates!$A$1:$Z$500,K611,INDEX($P$2:$P$8,L611)),""))</f>
        <v/>
      </c>
      <c r="G611" s="85" t="str">
        <f aca="false">IF(A611="","",INDEX($Q$2:$Q$8,L611))</f>
        <v/>
      </c>
      <c r="H611" s="85" t="str">
        <f aca="false">IF(A611="","",IF(F611="","Not yet scored",IF(F611&gt;=G611,"Pass","Fail")))</f>
        <v/>
      </c>
      <c r="I611" s="85" t="str">
        <f aca="false">IF(A611="","",INDEX(Candidates!$B$1:$B$500,K611))</f>
        <v/>
      </c>
      <c r="K611" s="86" t="n">
        <f aca="false">INT((ROW()-2)/7)+2</f>
        <v>89</v>
      </c>
      <c r="L611" s="86" t="n">
        <f aca="false">MOD(ROW()-2,7)+1</f>
        <v>1</v>
      </c>
    </row>
    <row r="612" customFormat="false" ht="15" hidden="false" customHeight="false" outlineLevel="0" collapsed="false">
      <c r="A612" s="85" t="str">
        <f aca="false">IF(INDEX(Candidates!$A$1:$A$500,K612)="","",INDEX(Candidates!$A$1:$A$500,K612))</f>
        <v/>
      </c>
      <c r="B612" s="85" t="str">
        <f aca="false">IF(A612="","",INDEX(Candidates!$C$1:$C$500,K612))</f>
        <v/>
      </c>
      <c r="C612" s="85" t="str">
        <f aca="false">IF(A612="","",INDEX(Candidates!$D$1:$D$500,K612))</f>
        <v/>
      </c>
      <c r="D612" s="85" t="str">
        <f aca="false">IF(A612="","",L612)</f>
        <v/>
      </c>
      <c r="E612" s="85" t="str">
        <f aca="false">IF(A612="","",INDEX($O$2:$O$8,L612))</f>
        <v/>
      </c>
      <c r="F612" s="85" t="str">
        <f aca="false">IF(A612="","",IF(ISNUMBER(INDEX(Candidates!$A$1:$Z$500,K612,INDEX($P$2:$P$8,L612))),INDEX(Candidates!$A$1:$Z$500,K612,INDEX($P$2:$P$8,L612)),""))</f>
        <v/>
      </c>
      <c r="G612" s="85" t="str">
        <f aca="false">IF(A612="","",INDEX($Q$2:$Q$8,L612))</f>
        <v/>
      </c>
      <c r="H612" s="85" t="str">
        <f aca="false">IF(A612="","",IF(F612="","Not yet scored",IF(F612&gt;=G612,"Pass","Fail")))</f>
        <v/>
      </c>
      <c r="I612" s="85" t="str">
        <f aca="false">IF(A612="","",INDEX(Candidates!$B$1:$B$500,K612))</f>
        <v/>
      </c>
      <c r="K612" s="86" t="n">
        <f aca="false">INT((ROW()-2)/7)+2</f>
        <v>89</v>
      </c>
      <c r="L612" s="86" t="n">
        <f aca="false">MOD(ROW()-2,7)+1</f>
        <v>2</v>
      </c>
    </row>
    <row r="613" customFormat="false" ht="15" hidden="false" customHeight="false" outlineLevel="0" collapsed="false">
      <c r="A613" s="85" t="str">
        <f aca="false">IF(INDEX(Candidates!$A$1:$A$500,K613)="","",INDEX(Candidates!$A$1:$A$500,K613))</f>
        <v/>
      </c>
      <c r="B613" s="85" t="str">
        <f aca="false">IF(A613="","",INDEX(Candidates!$C$1:$C$500,K613))</f>
        <v/>
      </c>
      <c r="C613" s="85" t="str">
        <f aca="false">IF(A613="","",INDEX(Candidates!$D$1:$D$500,K613))</f>
        <v/>
      </c>
      <c r="D613" s="85" t="str">
        <f aca="false">IF(A613="","",L613)</f>
        <v/>
      </c>
      <c r="E613" s="85" t="str">
        <f aca="false">IF(A613="","",INDEX($O$2:$O$8,L613))</f>
        <v/>
      </c>
      <c r="F613" s="85" t="str">
        <f aca="false">IF(A613="","",IF(ISNUMBER(INDEX(Candidates!$A$1:$Z$500,K613,INDEX($P$2:$P$8,L613))),INDEX(Candidates!$A$1:$Z$500,K613,INDEX($P$2:$P$8,L613)),""))</f>
        <v/>
      </c>
      <c r="G613" s="85" t="str">
        <f aca="false">IF(A613="","",INDEX($Q$2:$Q$8,L613))</f>
        <v/>
      </c>
      <c r="H613" s="85" t="str">
        <f aca="false">IF(A613="","",IF(F613="","Not yet scored",IF(F613&gt;=G613,"Pass","Fail")))</f>
        <v/>
      </c>
      <c r="I613" s="85" t="str">
        <f aca="false">IF(A613="","",INDEX(Candidates!$B$1:$B$500,K613))</f>
        <v/>
      </c>
      <c r="K613" s="86" t="n">
        <f aca="false">INT((ROW()-2)/7)+2</f>
        <v>89</v>
      </c>
      <c r="L613" s="86" t="n">
        <f aca="false">MOD(ROW()-2,7)+1</f>
        <v>3</v>
      </c>
    </row>
    <row r="614" customFormat="false" ht="15" hidden="false" customHeight="false" outlineLevel="0" collapsed="false">
      <c r="A614" s="85" t="str">
        <f aca="false">IF(INDEX(Candidates!$A$1:$A$500,K614)="","",INDEX(Candidates!$A$1:$A$500,K614))</f>
        <v/>
      </c>
      <c r="B614" s="85" t="str">
        <f aca="false">IF(A614="","",INDEX(Candidates!$C$1:$C$500,K614))</f>
        <v/>
      </c>
      <c r="C614" s="85" t="str">
        <f aca="false">IF(A614="","",INDEX(Candidates!$D$1:$D$500,K614))</f>
        <v/>
      </c>
      <c r="D614" s="85" t="str">
        <f aca="false">IF(A614="","",L614)</f>
        <v/>
      </c>
      <c r="E614" s="85" t="str">
        <f aca="false">IF(A614="","",INDEX($O$2:$O$8,L614))</f>
        <v/>
      </c>
      <c r="F614" s="85" t="str">
        <f aca="false">IF(A614="","",IF(ISNUMBER(INDEX(Candidates!$A$1:$Z$500,K614,INDEX($P$2:$P$8,L614))),INDEX(Candidates!$A$1:$Z$500,K614,INDEX($P$2:$P$8,L614)),""))</f>
        <v/>
      </c>
      <c r="G614" s="85" t="str">
        <f aca="false">IF(A614="","",INDEX($Q$2:$Q$8,L614))</f>
        <v/>
      </c>
      <c r="H614" s="85" t="str">
        <f aca="false">IF(A614="","",IF(F614="","Not yet scored",IF(F614&gt;=G614,"Pass","Fail")))</f>
        <v/>
      </c>
      <c r="I614" s="85" t="str">
        <f aca="false">IF(A614="","",INDEX(Candidates!$B$1:$B$500,K614))</f>
        <v/>
      </c>
      <c r="K614" s="86" t="n">
        <f aca="false">INT((ROW()-2)/7)+2</f>
        <v>89</v>
      </c>
      <c r="L614" s="86" t="n">
        <f aca="false">MOD(ROW()-2,7)+1</f>
        <v>4</v>
      </c>
    </row>
    <row r="615" customFormat="false" ht="15" hidden="false" customHeight="false" outlineLevel="0" collapsed="false">
      <c r="A615" s="85" t="str">
        <f aca="false">IF(INDEX(Candidates!$A$1:$A$500,K615)="","",INDEX(Candidates!$A$1:$A$500,K615))</f>
        <v/>
      </c>
      <c r="B615" s="85" t="str">
        <f aca="false">IF(A615="","",INDEX(Candidates!$C$1:$C$500,K615))</f>
        <v/>
      </c>
      <c r="C615" s="85" t="str">
        <f aca="false">IF(A615="","",INDEX(Candidates!$D$1:$D$500,K615))</f>
        <v/>
      </c>
      <c r="D615" s="85" t="str">
        <f aca="false">IF(A615="","",L615)</f>
        <v/>
      </c>
      <c r="E615" s="85" t="str">
        <f aca="false">IF(A615="","",INDEX($O$2:$O$8,L615))</f>
        <v/>
      </c>
      <c r="F615" s="85" t="str">
        <f aca="false">IF(A615="","",IF(ISNUMBER(INDEX(Candidates!$A$1:$Z$500,K615,INDEX($P$2:$P$8,L615))),INDEX(Candidates!$A$1:$Z$500,K615,INDEX($P$2:$P$8,L615)),""))</f>
        <v/>
      </c>
      <c r="G615" s="85" t="str">
        <f aca="false">IF(A615="","",INDEX($Q$2:$Q$8,L615))</f>
        <v/>
      </c>
      <c r="H615" s="85" t="str">
        <f aca="false">IF(A615="","",IF(F615="","Not yet scored",IF(F615&gt;=G615,"Pass","Fail")))</f>
        <v/>
      </c>
      <c r="I615" s="85" t="str">
        <f aca="false">IF(A615="","",INDEX(Candidates!$B$1:$B$500,K615))</f>
        <v/>
      </c>
      <c r="K615" s="86" t="n">
        <f aca="false">INT((ROW()-2)/7)+2</f>
        <v>89</v>
      </c>
      <c r="L615" s="86" t="n">
        <f aca="false">MOD(ROW()-2,7)+1</f>
        <v>5</v>
      </c>
    </row>
    <row r="616" customFormat="false" ht="15" hidden="false" customHeight="false" outlineLevel="0" collapsed="false">
      <c r="A616" s="85" t="str">
        <f aca="false">IF(INDEX(Candidates!$A$1:$A$500,K616)="","",INDEX(Candidates!$A$1:$A$500,K616))</f>
        <v/>
      </c>
      <c r="B616" s="85" t="str">
        <f aca="false">IF(A616="","",INDEX(Candidates!$C$1:$C$500,K616))</f>
        <v/>
      </c>
      <c r="C616" s="85" t="str">
        <f aca="false">IF(A616="","",INDEX(Candidates!$D$1:$D$500,K616))</f>
        <v/>
      </c>
      <c r="D616" s="85" t="str">
        <f aca="false">IF(A616="","",L616)</f>
        <v/>
      </c>
      <c r="E616" s="85" t="str">
        <f aca="false">IF(A616="","",INDEX($O$2:$O$8,L616))</f>
        <v/>
      </c>
      <c r="F616" s="85" t="str">
        <f aca="false">IF(A616="","",IF(ISNUMBER(INDEX(Candidates!$A$1:$Z$500,K616,INDEX($P$2:$P$8,L616))),INDEX(Candidates!$A$1:$Z$500,K616,INDEX($P$2:$P$8,L616)),""))</f>
        <v/>
      </c>
      <c r="G616" s="85" t="str">
        <f aca="false">IF(A616="","",INDEX($Q$2:$Q$8,L616))</f>
        <v/>
      </c>
      <c r="H616" s="85" t="str">
        <f aca="false">IF(A616="","",IF(F616="","Not yet scored",IF(F616&gt;=G616,"Pass","Fail")))</f>
        <v/>
      </c>
      <c r="I616" s="85" t="str">
        <f aca="false">IF(A616="","",INDEX(Candidates!$B$1:$B$500,K616))</f>
        <v/>
      </c>
      <c r="K616" s="86" t="n">
        <f aca="false">INT((ROW()-2)/7)+2</f>
        <v>89</v>
      </c>
      <c r="L616" s="86" t="n">
        <f aca="false">MOD(ROW()-2,7)+1</f>
        <v>6</v>
      </c>
    </row>
    <row r="617" customFormat="false" ht="15" hidden="false" customHeight="false" outlineLevel="0" collapsed="false">
      <c r="A617" s="85" t="str">
        <f aca="false">IF(INDEX(Candidates!$A$1:$A$500,K617)="","",INDEX(Candidates!$A$1:$A$500,K617))</f>
        <v/>
      </c>
      <c r="B617" s="85" t="str">
        <f aca="false">IF(A617="","",INDEX(Candidates!$C$1:$C$500,K617))</f>
        <v/>
      </c>
      <c r="C617" s="85" t="str">
        <f aca="false">IF(A617="","",INDEX(Candidates!$D$1:$D$500,K617))</f>
        <v/>
      </c>
      <c r="D617" s="85" t="str">
        <f aca="false">IF(A617="","",L617)</f>
        <v/>
      </c>
      <c r="E617" s="85" t="str">
        <f aca="false">IF(A617="","",INDEX($O$2:$O$8,L617))</f>
        <v/>
      </c>
      <c r="F617" s="85" t="str">
        <f aca="false">IF(A617="","",IF(ISNUMBER(INDEX(Candidates!$A$1:$Z$500,K617,INDEX($P$2:$P$8,L617))),INDEX(Candidates!$A$1:$Z$500,K617,INDEX($P$2:$P$8,L617)),""))</f>
        <v/>
      </c>
      <c r="G617" s="85" t="str">
        <f aca="false">IF(A617="","",INDEX($Q$2:$Q$8,L617))</f>
        <v/>
      </c>
      <c r="H617" s="85" t="str">
        <f aca="false">IF(A617="","",IF(F617="","Not yet scored",IF(F617&gt;=G617,"Pass","Fail")))</f>
        <v/>
      </c>
      <c r="I617" s="85" t="str">
        <f aca="false">IF(A617="","",INDEX(Candidates!$B$1:$B$500,K617))</f>
        <v/>
      </c>
      <c r="K617" s="86" t="n">
        <f aca="false">INT((ROW()-2)/7)+2</f>
        <v>89</v>
      </c>
      <c r="L617" s="86" t="n">
        <f aca="false">MOD(ROW()-2,7)+1</f>
        <v>7</v>
      </c>
    </row>
    <row r="618" customFormat="false" ht="15" hidden="false" customHeight="false" outlineLevel="0" collapsed="false">
      <c r="A618" s="85" t="str">
        <f aca="false">IF(INDEX(Candidates!$A$1:$A$500,K618)="","",INDEX(Candidates!$A$1:$A$500,K618))</f>
        <v/>
      </c>
      <c r="B618" s="85" t="str">
        <f aca="false">IF(A618="","",INDEX(Candidates!$C$1:$C$500,K618))</f>
        <v/>
      </c>
      <c r="C618" s="85" t="str">
        <f aca="false">IF(A618="","",INDEX(Candidates!$D$1:$D$500,K618))</f>
        <v/>
      </c>
      <c r="D618" s="85" t="str">
        <f aca="false">IF(A618="","",L618)</f>
        <v/>
      </c>
      <c r="E618" s="85" t="str">
        <f aca="false">IF(A618="","",INDEX($O$2:$O$8,L618))</f>
        <v/>
      </c>
      <c r="F618" s="85" t="str">
        <f aca="false">IF(A618="","",IF(ISNUMBER(INDEX(Candidates!$A$1:$Z$500,K618,INDEX($P$2:$P$8,L618))),INDEX(Candidates!$A$1:$Z$500,K618,INDEX($P$2:$P$8,L618)),""))</f>
        <v/>
      </c>
      <c r="G618" s="85" t="str">
        <f aca="false">IF(A618="","",INDEX($Q$2:$Q$8,L618))</f>
        <v/>
      </c>
      <c r="H618" s="85" t="str">
        <f aca="false">IF(A618="","",IF(F618="","Not yet scored",IF(F618&gt;=G618,"Pass","Fail")))</f>
        <v/>
      </c>
      <c r="I618" s="85" t="str">
        <f aca="false">IF(A618="","",INDEX(Candidates!$B$1:$B$500,K618))</f>
        <v/>
      </c>
      <c r="K618" s="86" t="n">
        <f aca="false">INT((ROW()-2)/7)+2</f>
        <v>90</v>
      </c>
      <c r="L618" s="86" t="n">
        <f aca="false">MOD(ROW()-2,7)+1</f>
        <v>1</v>
      </c>
    </row>
    <row r="619" customFormat="false" ht="15" hidden="false" customHeight="false" outlineLevel="0" collapsed="false">
      <c r="A619" s="85" t="str">
        <f aca="false">IF(INDEX(Candidates!$A$1:$A$500,K619)="","",INDEX(Candidates!$A$1:$A$500,K619))</f>
        <v/>
      </c>
      <c r="B619" s="85" t="str">
        <f aca="false">IF(A619="","",INDEX(Candidates!$C$1:$C$500,K619))</f>
        <v/>
      </c>
      <c r="C619" s="85" t="str">
        <f aca="false">IF(A619="","",INDEX(Candidates!$D$1:$D$500,K619))</f>
        <v/>
      </c>
      <c r="D619" s="85" t="str">
        <f aca="false">IF(A619="","",L619)</f>
        <v/>
      </c>
      <c r="E619" s="85" t="str">
        <f aca="false">IF(A619="","",INDEX($O$2:$O$8,L619))</f>
        <v/>
      </c>
      <c r="F619" s="85" t="str">
        <f aca="false">IF(A619="","",IF(ISNUMBER(INDEX(Candidates!$A$1:$Z$500,K619,INDEX($P$2:$P$8,L619))),INDEX(Candidates!$A$1:$Z$500,K619,INDEX($P$2:$P$8,L619)),""))</f>
        <v/>
      </c>
      <c r="G619" s="85" t="str">
        <f aca="false">IF(A619="","",INDEX($Q$2:$Q$8,L619))</f>
        <v/>
      </c>
      <c r="H619" s="85" t="str">
        <f aca="false">IF(A619="","",IF(F619="","Not yet scored",IF(F619&gt;=G619,"Pass","Fail")))</f>
        <v/>
      </c>
      <c r="I619" s="85" t="str">
        <f aca="false">IF(A619="","",INDEX(Candidates!$B$1:$B$500,K619))</f>
        <v/>
      </c>
      <c r="K619" s="86" t="n">
        <f aca="false">INT((ROW()-2)/7)+2</f>
        <v>90</v>
      </c>
      <c r="L619" s="86" t="n">
        <f aca="false">MOD(ROW()-2,7)+1</f>
        <v>2</v>
      </c>
    </row>
    <row r="620" customFormat="false" ht="15" hidden="false" customHeight="false" outlineLevel="0" collapsed="false">
      <c r="A620" s="85" t="str">
        <f aca="false">IF(INDEX(Candidates!$A$1:$A$500,K620)="","",INDEX(Candidates!$A$1:$A$500,K620))</f>
        <v/>
      </c>
      <c r="B620" s="85" t="str">
        <f aca="false">IF(A620="","",INDEX(Candidates!$C$1:$C$500,K620))</f>
        <v/>
      </c>
      <c r="C620" s="85" t="str">
        <f aca="false">IF(A620="","",INDEX(Candidates!$D$1:$D$500,K620))</f>
        <v/>
      </c>
      <c r="D620" s="85" t="str">
        <f aca="false">IF(A620="","",L620)</f>
        <v/>
      </c>
      <c r="E620" s="85" t="str">
        <f aca="false">IF(A620="","",INDEX($O$2:$O$8,L620))</f>
        <v/>
      </c>
      <c r="F620" s="85" t="str">
        <f aca="false">IF(A620="","",IF(ISNUMBER(INDEX(Candidates!$A$1:$Z$500,K620,INDEX($P$2:$P$8,L620))),INDEX(Candidates!$A$1:$Z$500,K620,INDEX($P$2:$P$8,L620)),""))</f>
        <v/>
      </c>
      <c r="G620" s="85" t="str">
        <f aca="false">IF(A620="","",INDEX($Q$2:$Q$8,L620))</f>
        <v/>
      </c>
      <c r="H620" s="85" t="str">
        <f aca="false">IF(A620="","",IF(F620="","Not yet scored",IF(F620&gt;=G620,"Pass","Fail")))</f>
        <v/>
      </c>
      <c r="I620" s="85" t="str">
        <f aca="false">IF(A620="","",INDEX(Candidates!$B$1:$B$500,K620))</f>
        <v/>
      </c>
      <c r="K620" s="86" t="n">
        <f aca="false">INT((ROW()-2)/7)+2</f>
        <v>90</v>
      </c>
      <c r="L620" s="86" t="n">
        <f aca="false">MOD(ROW()-2,7)+1</f>
        <v>3</v>
      </c>
    </row>
    <row r="621" customFormat="false" ht="15" hidden="false" customHeight="false" outlineLevel="0" collapsed="false">
      <c r="A621" s="85" t="str">
        <f aca="false">IF(INDEX(Candidates!$A$1:$A$500,K621)="","",INDEX(Candidates!$A$1:$A$500,K621))</f>
        <v/>
      </c>
      <c r="B621" s="85" t="str">
        <f aca="false">IF(A621="","",INDEX(Candidates!$C$1:$C$500,K621))</f>
        <v/>
      </c>
      <c r="C621" s="85" t="str">
        <f aca="false">IF(A621="","",INDEX(Candidates!$D$1:$D$500,K621))</f>
        <v/>
      </c>
      <c r="D621" s="85" t="str">
        <f aca="false">IF(A621="","",L621)</f>
        <v/>
      </c>
      <c r="E621" s="85" t="str">
        <f aca="false">IF(A621="","",INDEX($O$2:$O$8,L621))</f>
        <v/>
      </c>
      <c r="F621" s="85" t="str">
        <f aca="false">IF(A621="","",IF(ISNUMBER(INDEX(Candidates!$A$1:$Z$500,K621,INDEX($P$2:$P$8,L621))),INDEX(Candidates!$A$1:$Z$500,K621,INDEX($P$2:$P$8,L621)),""))</f>
        <v/>
      </c>
      <c r="G621" s="85" t="str">
        <f aca="false">IF(A621="","",INDEX($Q$2:$Q$8,L621))</f>
        <v/>
      </c>
      <c r="H621" s="85" t="str">
        <f aca="false">IF(A621="","",IF(F621="","Not yet scored",IF(F621&gt;=G621,"Pass","Fail")))</f>
        <v/>
      </c>
      <c r="I621" s="85" t="str">
        <f aca="false">IF(A621="","",INDEX(Candidates!$B$1:$B$500,K621))</f>
        <v/>
      </c>
      <c r="K621" s="86" t="n">
        <f aca="false">INT((ROW()-2)/7)+2</f>
        <v>90</v>
      </c>
      <c r="L621" s="86" t="n">
        <f aca="false">MOD(ROW()-2,7)+1</f>
        <v>4</v>
      </c>
    </row>
    <row r="622" customFormat="false" ht="15" hidden="false" customHeight="false" outlineLevel="0" collapsed="false">
      <c r="A622" s="85" t="str">
        <f aca="false">IF(INDEX(Candidates!$A$1:$A$500,K622)="","",INDEX(Candidates!$A$1:$A$500,K622))</f>
        <v/>
      </c>
      <c r="B622" s="85" t="str">
        <f aca="false">IF(A622="","",INDEX(Candidates!$C$1:$C$500,K622))</f>
        <v/>
      </c>
      <c r="C622" s="85" t="str">
        <f aca="false">IF(A622="","",INDEX(Candidates!$D$1:$D$500,K622))</f>
        <v/>
      </c>
      <c r="D622" s="85" t="str">
        <f aca="false">IF(A622="","",L622)</f>
        <v/>
      </c>
      <c r="E622" s="85" t="str">
        <f aca="false">IF(A622="","",INDEX($O$2:$O$8,L622))</f>
        <v/>
      </c>
      <c r="F622" s="85" t="str">
        <f aca="false">IF(A622="","",IF(ISNUMBER(INDEX(Candidates!$A$1:$Z$500,K622,INDEX($P$2:$P$8,L622))),INDEX(Candidates!$A$1:$Z$500,K622,INDEX($P$2:$P$8,L622)),""))</f>
        <v/>
      </c>
      <c r="G622" s="85" t="str">
        <f aca="false">IF(A622="","",INDEX($Q$2:$Q$8,L622))</f>
        <v/>
      </c>
      <c r="H622" s="85" t="str">
        <f aca="false">IF(A622="","",IF(F622="","Not yet scored",IF(F622&gt;=G622,"Pass","Fail")))</f>
        <v/>
      </c>
      <c r="I622" s="85" t="str">
        <f aca="false">IF(A622="","",INDEX(Candidates!$B$1:$B$500,K622))</f>
        <v/>
      </c>
      <c r="K622" s="86" t="n">
        <f aca="false">INT((ROW()-2)/7)+2</f>
        <v>90</v>
      </c>
      <c r="L622" s="86" t="n">
        <f aca="false">MOD(ROW()-2,7)+1</f>
        <v>5</v>
      </c>
    </row>
    <row r="623" customFormat="false" ht="15" hidden="false" customHeight="false" outlineLevel="0" collapsed="false">
      <c r="A623" s="85" t="str">
        <f aca="false">IF(INDEX(Candidates!$A$1:$A$500,K623)="","",INDEX(Candidates!$A$1:$A$500,K623))</f>
        <v/>
      </c>
      <c r="B623" s="85" t="str">
        <f aca="false">IF(A623="","",INDEX(Candidates!$C$1:$C$500,K623))</f>
        <v/>
      </c>
      <c r="C623" s="85" t="str">
        <f aca="false">IF(A623="","",INDEX(Candidates!$D$1:$D$500,K623))</f>
        <v/>
      </c>
      <c r="D623" s="85" t="str">
        <f aca="false">IF(A623="","",L623)</f>
        <v/>
      </c>
      <c r="E623" s="85" t="str">
        <f aca="false">IF(A623="","",INDEX($O$2:$O$8,L623))</f>
        <v/>
      </c>
      <c r="F623" s="85" t="str">
        <f aca="false">IF(A623="","",IF(ISNUMBER(INDEX(Candidates!$A$1:$Z$500,K623,INDEX($P$2:$P$8,L623))),INDEX(Candidates!$A$1:$Z$500,K623,INDEX($P$2:$P$8,L623)),""))</f>
        <v/>
      </c>
      <c r="G623" s="85" t="str">
        <f aca="false">IF(A623="","",INDEX($Q$2:$Q$8,L623))</f>
        <v/>
      </c>
      <c r="H623" s="85" t="str">
        <f aca="false">IF(A623="","",IF(F623="","Not yet scored",IF(F623&gt;=G623,"Pass","Fail")))</f>
        <v/>
      </c>
      <c r="I623" s="85" t="str">
        <f aca="false">IF(A623="","",INDEX(Candidates!$B$1:$B$500,K623))</f>
        <v/>
      </c>
      <c r="K623" s="86" t="n">
        <f aca="false">INT((ROW()-2)/7)+2</f>
        <v>90</v>
      </c>
      <c r="L623" s="86" t="n">
        <f aca="false">MOD(ROW()-2,7)+1</f>
        <v>6</v>
      </c>
    </row>
    <row r="624" customFormat="false" ht="15" hidden="false" customHeight="false" outlineLevel="0" collapsed="false">
      <c r="A624" s="85" t="str">
        <f aca="false">IF(INDEX(Candidates!$A$1:$A$500,K624)="","",INDEX(Candidates!$A$1:$A$500,K624))</f>
        <v/>
      </c>
      <c r="B624" s="85" t="str">
        <f aca="false">IF(A624="","",INDEX(Candidates!$C$1:$C$500,K624))</f>
        <v/>
      </c>
      <c r="C624" s="85" t="str">
        <f aca="false">IF(A624="","",INDEX(Candidates!$D$1:$D$500,K624))</f>
        <v/>
      </c>
      <c r="D624" s="85" t="str">
        <f aca="false">IF(A624="","",L624)</f>
        <v/>
      </c>
      <c r="E624" s="85" t="str">
        <f aca="false">IF(A624="","",INDEX($O$2:$O$8,L624))</f>
        <v/>
      </c>
      <c r="F624" s="85" t="str">
        <f aca="false">IF(A624="","",IF(ISNUMBER(INDEX(Candidates!$A$1:$Z$500,K624,INDEX($P$2:$P$8,L624))),INDEX(Candidates!$A$1:$Z$500,K624,INDEX($P$2:$P$8,L624)),""))</f>
        <v/>
      </c>
      <c r="G624" s="85" t="str">
        <f aca="false">IF(A624="","",INDEX($Q$2:$Q$8,L624))</f>
        <v/>
      </c>
      <c r="H624" s="85" t="str">
        <f aca="false">IF(A624="","",IF(F624="","Not yet scored",IF(F624&gt;=G624,"Pass","Fail")))</f>
        <v/>
      </c>
      <c r="I624" s="85" t="str">
        <f aca="false">IF(A624="","",INDEX(Candidates!$B$1:$B$500,K624))</f>
        <v/>
      </c>
      <c r="K624" s="86" t="n">
        <f aca="false">INT((ROW()-2)/7)+2</f>
        <v>90</v>
      </c>
      <c r="L624" s="86" t="n">
        <f aca="false">MOD(ROW()-2,7)+1</f>
        <v>7</v>
      </c>
    </row>
    <row r="625" customFormat="false" ht="15" hidden="false" customHeight="false" outlineLevel="0" collapsed="false">
      <c r="A625" s="85" t="str">
        <f aca="false">IF(INDEX(Candidates!$A$1:$A$500,K625)="","",INDEX(Candidates!$A$1:$A$500,K625))</f>
        <v/>
      </c>
      <c r="B625" s="85" t="str">
        <f aca="false">IF(A625="","",INDEX(Candidates!$C$1:$C$500,K625))</f>
        <v/>
      </c>
      <c r="C625" s="85" t="str">
        <f aca="false">IF(A625="","",INDEX(Candidates!$D$1:$D$500,K625))</f>
        <v/>
      </c>
      <c r="D625" s="85" t="str">
        <f aca="false">IF(A625="","",L625)</f>
        <v/>
      </c>
      <c r="E625" s="85" t="str">
        <f aca="false">IF(A625="","",INDEX($O$2:$O$8,L625))</f>
        <v/>
      </c>
      <c r="F625" s="85" t="str">
        <f aca="false">IF(A625="","",IF(ISNUMBER(INDEX(Candidates!$A$1:$Z$500,K625,INDEX($P$2:$P$8,L625))),INDEX(Candidates!$A$1:$Z$500,K625,INDEX($P$2:$P$8,L625)),""))</f>
        <v/>
      </c>
      <c r="G625" s="85" t="str">
        <f aca="false">IF(A625="","",INDEX($Q$2:$Q$8,L625))</f>
        <v/>
      </c>
      <c r="H625" s="85" t="str">
        <f aca="false">IF(A625="","",IF(F625="","Not yet scored",IF(F625&gt;=G625,"Pass","Fail")))</f>
        <v/>
      </c>
      <c r="I625" s="85" t="str">
        <f aca="false">IF(A625="","",INDEX(Candidates!$B$1:$B$500,K625))</f>
        <v/>
      </c>
      <c r="K625" s="86" t="n">
        <f aca="false">INT((ROW()-2)/7)+2</f>
        <v>91</v>
      </c>
      <c r="L625" s="86" t="n">
        <f aca="false">MOD(ROW()-2,7)+1</f>
        <v>1</v>
      </c>
    </row>
    <row r="626" customFormat="false" ht="15" hidden="false" customHeight="false" outlineLevel="0" collapsed="false">
      <c r="A626" s="85" t="str">
        <f aca="false">IF(INDEX(Candidates!$A$1:$A$500,K626)="","",INDEX(Candidates!$A$1:$A$500,K626))</f>
        <v/>
      </c>
      <c r="B626" s="85" t="str">
        <f aca="false">IF(A626="","",INDEX(Candidates!$C$1:$C$500,K626))</f>
        <v/>
      </c>
      <c r="C626" s="85" t="str">
        <f aca="false">IF(A626="","",INDEX(Candidates!$D$1:$D$500,K626))</f>
        <v/>
      </c>
      <c r="D626" s="85" t="str">
        <f aca="false">IF(A626="","",L626)</f>
        <v/>
      </c>
      <c r="E626" s="85" t="str">
        <f aca="false">IF(A626="","",INDEX($O$2:$O$8,L626))</f>
        <v/>
      </c>
      <c r="F626" s="85" t="str">
        <f aca="false">IF(A626="","",IF(ISNUMBER(INDEX(Candidates!$A$1:$Z$500,K626,INDEX($P$2:$P$8,L626))),INDEX(Candidates!$A$1:$Z$500,K626,INDEX($P$2:$P$8,L626)),""))</f>
        <v/>
      </c>
      <c r="G626" s="85" t="str">
        <f aca="false">IF(A626="","",INDEX($Q$2:$Q$8,L626))</f>
        <v/>
      </c>
      <c r="H626" s="85" t="str">
        <f aca="false">IF(A626="","",IF(F626="","Not yet scored",IF(F626&gt;=G626,"Pass","Fail")))</f>
        <v/>
      </c>
      <c r="I626" s="85" t="str">
        <f aca="false">IF(A626="","",INDEX(Candidates!$B$1:$B$500,K626))</f>
        <v/>
      </c>
      <c r="K626" s="86" t="n">
        <f aca="false">INT((ROW()-2)/7)+2</f>
        <v>91</v>
      </c>
      <c r="L626" s="86" t="n">
        <f aca="false">MOD(ROW()-2,7)+1</f>
        <v>2</v>
      </c>
    </row>
    <row r="627" customFormat="false" ht="15" hidden="false" customHeight="false" outlineLevel="0" collapsed="false">
      <c r="A627" s="85" t="str">
        <f aca="false">IF(INDEX(Candidates!$A$1:$A$500,K627)="","",INDEX(Candidates!$A$1:$A$500,K627))</f>
        <v/>
      </c>
      <c r="B627" s="85" t="str">
        <f aca="false">IF(A627="","",INDEX(Candidates!$C$1:$C$500,K627))</f>
        <v/>
      </c>
      <c r="C627" s="85" t="str">
        <f aca="false">IF(A627="","",INDEX(Candidates!$D$1:$D$500,K627))</f>
        <v/>
      </c>
      <c r="D627" s="85" t="str">
        <f aca="false">IF(A627="","",L627)</f>
        <v/>
      </c>
      <c r="E627" s="85" t="str">
        <f aca="false">IF(A627="","",INDEX($O$2:$O$8,L627))</f>
        <v/>
      </c>
      <c r="F627" s="85" t="str">
        <f aca="false">IF(A627="","",IF(ISNUMBER(INDEX(Candidates!$A$1:$Z$500,K627,INDEX($P$2:$P$8,L627))),INDEX(Candidates!$A$1:$Z$500,K627,INDEX($P$2:$P$8,L627)),""))</f>
        <v/>
      </c>
      <c r="G627" s="85" t="str">
        <f aca="false">IF(A627="","",INDEX($Q$2:$Q$8,L627))</f>
        <v/>
      </c>
      <c r="H627" s="85" t="str">
        <f aca="false">IF(A627="","",IF(F627="","Not yet scored",IF(F627&gt;=G627,"Pass","Fail")))</f>
        <v/>
      </c>
      <c r="I627" s="85" t="str">
        <f aca="false">IF(A627="","",INDEX(Candidates!$B$1:$B$500,K627))</f>
        <v/>
      </c>
      <c r="K627" s="86" t="n">
        <f aca="false">INT((ROW()-2)/7)+2</f>
        <v>91</v>
      </c>
      <c r="L627" s="86" t="n">
        <f aca="false">MOD(ROW()-2,7)+1</f>
        <v>3</v>
      </c>
    </row>
    <row r="628" customFormat="false" ht="15" hidden="false" customHeight="false" outlineLevel="0" collapsed="false">
      <c r="A628" s="85" t="str">
        <f aca="false">IF(INDEX(Candidates!$A$1:$A$500,K628)="","",INDEX(Candidates!$A$1:$A$500,K628))</f>
        <v/>
      </c>
      <c r="B628" s="85" t="str">
        <f aca="false">IF(A628="","",INDEX(Candidates!$C$1:$C$500,K628))</f>
        <v/>
      </c>
      <c r="C628" s="85" t="str">
        <f aca="false">IF(A628="","",INDEX(Candidates!$D$1:$D$500,K628))</f>
        <v/>
      </c>
      <c r="D628" s="85" t="str">
        <f aca="false">IF(A628="","",L628)</f>
        <v/>
      </c>
      <c r="E628" s="85" t="str">
        <f aca="false">IF(A628="","",INDEX($O$2:$O$8,L628))</f>
        <v/>
      </c>
      <c r="F628" s="85" t="str">
        <f aca="false">IF(A628="","",IF(ISNUMBER(INDEX(Candidates!$A$1:$Z$500,K628,INDEX($P$2:$P$8,L628))),INDEX(Candidates!$A$1:$Z$500,K628,INDEX($P$2:$P$8,L628)),""))</f>
        <v/>
      </c>
      <c r="G628" s="85" t="str">
        <f aca="false">IF(A628="","",INDEX($Q$2:$Q$8,L628))</f>
        <v/>
      </c>
      <c r="H628" s="85" t="str">
        <f aca="false">IF(A628="","",IF(F628="","Not yet scored",IF(F628&gt;=G628,"Pass","Fail")))</f>
        <v/>
      </c>
      <c r="I628" s="85" t="str">
        <f aca="false">IF(A628="","",INDEX(Candidates!$B$1:$B$500,K628))</f>
        <v/>
      </c>
      <c r="K628" s="86" t="n">
        <f aca="false">INT((ROW()-2)/7)+2</f>
        <v>91</v>
      </c>
      <c r="L628" s="86" t="n">
        <f aca="false">MOD(ROW()-2,7)+1</f>
        <v>4</v>
      </c>
    </row>
    <row r="629" customFormat="false" ht="15" hidden="false" customHeight="false" outlineLevel="0" collapsed="false">
      <c r="A629" s="85" t="str">
        <f aca="false">IF(INDEX(Candidates!$A$1:$A$500,K629)="","",INDEX(Candidates!$A$1:$A$500,K629))</f>
        <v/>
      </c>
      <c r="B629" s="85" t="str">
        <f aca="false">IF(A629="","",INDEX(Candidates!$C$1:$C$500,K629))</f>
        <v/>
      </c>
      <c r="C629" s="85" t="str">
        <f aca="false">IF(A629="","",INDEX(Candidates!$D$1:$D$500,K629))</f>
        <v/>
      </c>
      <c r="D629" s="85" t="str">
        <f aca="false">IF(A629="","",L629)</f>
        <v/>
      </c>
      <c r="E629" s="85" t="str">
        <f aca="false">IF(A629="","",INDEX($O$2:$O$8,L629))</f>
        <v/>
      </c>
      <c r="F629" s="85" t="str">
        <f aca="false">IF(A629="","",IF(ISNUMBER(INDEX(Candidates!$A$1:$Z$500,K629,INDEX($P$2:$P$8,L629))),INDEX(Candidates!$A$1:$Z$500,K629,INDEX($P$2:$P$8,L629)),""))</f>
        <v/>
      </c>
      <c r="G629" s="85" t="str">
        <f aca="false">IF(A629="","",INDEX($Q$2:$Q$8,L629))</f>
        <v/>
      </c>
      <c r="H629" s="85" t="str">
        <f aca="false">IF(A629="","",IF(F629="","Not yet scored",IF(F629&gt;=G629,"Pass","Fail")))</f>
        <v/>
      </c>
      <c r="I629" s="85" t="str">
        <f aca="false">IF(A629="","",INDEX(Candidates!$B$1:$B$500,K629))</f>
        <v/>
      </c>
      <c r="K629" s="86" t="n">
        <f aca="false">INT((ROW()-2)/7)+2</f>
        <v>91</v>
      </c>
      <c r="L629" s="86" t="n">
        <f aca="false">MOD(ROW()-2,7)+1</f>
        <v>5</v>
      </c>
    </row>
    <row r="630" customFormat="false" ht="15" hidden="false" customHeight="false" outlineLevel="0" collapsed="false">
      <c r="A630" s="85" t="str">
        <f aca="false">IF(INDEX(Candidates!$A$1:$A$500,K630)="","",INDEX(Candidates!$A$1:$A$500,K630))</f>
        <v/>
      </c>
      <c r="B630" s="85" t="str">
        <f aca="false">IF(A630="","",INDEX(Candidates!$C$1:$C$500,K630))</f>
        <v/>
      </c>
      <c r="C630" s="85" t="str">
        <f aca="false">IF(A630="","",INDEX(Candidates!$D$1:$D$500,K630))</f>
        <v/>
      </c>
      <c r="D630" s="85" t="str">
        <f aca="false">IF(A630="","",L630)</f>
        <v/>
      </c>
      <c r="E630" s="85" t="str">
        <f aca="false">IF(A630="","",INDEX($O$2:$O$8,L630))</f>
        <v/>
      </c>
      <c r="F630" s="85" t="str">
        <f aca="false">IF(A630="","",IF(ISNUMBER(INDEX(Candidates!$A$1:$Z$500,K630,INDEX($P$2:$P$8,L630))),INDEX(Candidates!$A$1:$Z$500,K630,INDEX($P$2:$P$8,L630)),""))</f>
        <v/>
      </c>
      <c r="G630" s="85" t="str">
        <f aca="false">IF(A630="","",INDEX($Q$2:$Q$8,L630))</f>
        <v/>
      </c>
      <c r="H630" s="85" t="str">
        <f aca="false">IF(A630="","",IF(F630="","Not yet scored",IF(F630&gt;=G630,"Pass","Fail")))</f>
        <v/>
      </c>
      <c r="I630" s="85" t="str">
        <f aca="false">IF(A630="","",INDEX(Candidates!$B$1:$B$500,K630))</f>
        <v/>
      </c>
      <c r="K630" s="86" t="n">
        <f aca="false">INT((ROW()-2)/7)+2</f>
        <v>91</v>
      </c>
      <c r="L630" s="86" t="n">
        <f aca="false">MOD(ROW()-2,7)+1</f>
        <v>6</v>
      </c>
    </row>
    <row r="631" customFormat="false" ht="15" hidden="false" customHeight="false" outlineLevel="0" collapsed="false">
      <c r="A631" s="85" t="str">
        <f aca="false">IF(INDEX(Candidates!$A$1:$A$500,K631)="","",INDEX(Candidates!$A$1:$A$500,K631))</f>
        <v/>
      </c>
      <c r="B631" s="85" t="str">
        <f aca="false">IF(A631="","",INDEX(Candidates!$C$1:$C$500,K631))</f>
        <v/>
      </c>
      <c r="C631" s="85" t="str">
        <f aca="false">IF(A631="","",INDEX(Candidates!$D$1:$D$500,K631))</f>
        <v/>
      </c>
      <c r="D631" s="85" t="str">
        <f aca="false">IF(A631="","",L631)</f>
        <v/>
      </c>
      <c r="E631" s="85" t="str">
        <f aca="false">IF(A631="","",INDEX($O$2:$O$8,L631))</f>
        <v/>
      </c>
      <c r="F631" s="85" t="str">
        <f aca="false">IF(A631="","",IF(ISNUMBER(INDEX(Candidates!$A$1:$Z$500,K631,INDEX($P$2:$P$8,L631))),INDEX(Candidates!$A$1:$Z$500,K631,INDEX($P$2:$P$8,L631)),""))</f>
        <v/>
      </c>
      <c r="G631" s="85" t="str">
        <f aca="false">IF(A631="","",INDEX($Q$2:$Q$8,L631))</f>
        <v/>
      </c>
      <c r="H631" s="85" t="str">
        <f aca="false">IF(A631="","",IF(F631="","Not yet scored",IF(F631&gt;=G631,"Pass","Fail")))</f>
        <v/>
      </c>
      <c r="I631" s="85" t="str">
        <f aca="false">IF(A631="","",INDEX(Candidates!$B$1:$B$500,K631))</f>
        <v/>
      </c>
      <c r="K631" s="86" t="n">
        <f aca="false">INT((ROW()-2)/7)+2</f>
        <v>91</v>
      </c>
      <c r="L631" s="86" t="n">
        <f aca="false">MOD(ROW()-2,7)+1</f>
        <v>7</v>
      </c>
    </row>
    <row r="632" customFormat="false" ht="15" hidden="false" customHeight="false" outlineLevel="0" collapsed="false">
      <c r="A632" s="85" t="str">
        <f aca="false">IF(INDEX(Candidates!$A$1:$A$500,K632)="","",INDEX(Candidates!$A$1:$A$500,K632))</f>
        <v/>
      </c>
      <c r="B632" s="85" t="str">
        <f aca="false">IF(A632="","",INDEX(Candidates!$C$1:$C$500,K632))</f>
        <v/>
      </c>
      <c r="C632" s="85" t="str">
        <f aca="false">IF(A632="","",INDEX(Candidates!$D$1:$D$500,K632))</f>
        <v/>
      </c>
      <c r="D632" s="85" t="str">
        <f aca="false">IF(A632="","",L632)</f>
        <v/>
      </c>
      <c r="E632" s="85" t="str">
        <f aca="false">IF(A632="","",INDEX($O$2:$O$8,L632))</f>
        <v/>
      </c>
      <c r="F632" s="85" t="str">
        <f aca="false">IF(A632="","",IF(ISNUMBER(INDEX(Candidates!$A$1:$Z$500,K632,INDEX($P$2:$P$8,L632))),INDEX(Candidates!$A$1:$Z$500,K632,INDEX($P$2:$P$8,L632)),""))</f>
        <v/>
      </c>
      <c r="G632" s="85" t="str">
        <f aca="false">IF(A632="","",INDEX($Q$2:$Q$8,L632))</f>
        <v/>
      </c>
      <c r="H632" s="85" t="str">
        <f aca="false">IF(A632="","",IF(F632="","Not yet scored",IF(F632&gt;=G632,"Pass","Fail")))</f>
        <v/>
      </c>
      <c r="I632" s="85" t="str">
        <f aca="false">IF(A632="","",INDEX(Candidates!$B$1:$B$500,K632))</f>
        <v/>
      </c>
      <c r="K632" s="86" t="n">
        <f aca="false">INT((ROW()-2)/7)+2</f>
        <v>92</v>
      </c>
      <c r="L632" s="86" t="n">
        <f aca="false">MOD(ROW()-2,7)+1</f>
        <v>1</v>
      </c>
    </row>
    <row r="633" customFormat="false" ht="15" hidden="false" customHeight="false" outlineLevel="0" collapsed="false">
      <c r="A633" s="85" t="str">
        <f aca="false">IF(INDEX(Candidates!$A$1:$A$500,K633)="","",INDEX(Candidates!$A$1:$A$500,K633))</f>
        <v/>
      </c>
      <c r="B633" s="85" t="str">
        <f aca="false">IF(A633="","",INDEX(Candidates!$C$1:$C$500,K633))</f>
        <v/>
      </c>
      <c r="C633" s="85" t="str">
        <f aca="false">IF(A633="","",INDEX(Candidates!$D$1:$D$500,K633))</f>
        <v/>
      </c>
      <c r="D633" s="85" t="str">
        <f aca="false">IF(A633="","",L633)</f>
        <v/>
      </c>
      <c r="E633" s="85" t="str">
        <f aca="false">IF(A633="","",INDEX($O$2:$O$8,L633))</f>
        <v/>
      </c>
      <c r="F633" s="85" t="str">
        <f aca="false">IF(A633="","",IF(ISNUMBER(INDEX(Candidates!$A$1:$Z$500,K633,INDEX($P$2:$P$8,L633))),INDEX(Candidates!$A$1:$Z$500,K633,INDEX($P$2:$P$8,L633)),""))</f>
        <v/>
      </c>
      <c r="G633" s="85" t="str">
        <f aca="false">IF(A633="","",INDEX($Q$2:$Q$8,L633))</f>
        <v/>
      </c>
      <c r="H633" s="85" t="str">
        <f aca="false">IF(A633="","",IF(F633="","Not yet scored",IF(F633&gt;=G633,"Pass","Fail")))</f>
        <v/>
      </c>
      <c r="I633" s="85" t="str">
        <f aca="false">IF(A633="","",INDEX(Candidates!$B$1:$B$500,K633))</f>
        <v/>
      </c>
      <c r="K633" s="86" t="n">
        <f aca="false">INT((ROW()-2)/7)+2</f>
        <v>92</v>
      </c>
      <c r="L633" s="86" t="n">
        <f aca="false">MOD(ROW()-2,7)+1</f>
        <v>2</v>
      </c>
    </row>
    <row r="634" customFormat="false" ht="15" hidden="false" customHeight="false" outlineLevel="0" collapsed="false">
      <c r="A634" s="85" t="str">
        <f aca="false">IF(INDEX(Candidates!$A$1:$A$500,K634)="","",INDEX(Candidates!$A$1:$A$500,K634))</f>
        <v/>
      </c>
      <c r="B634" s="85" t="str">
        <f aca="false">IF(A634="","",INDEX(Candidates!$C$1:$C$500,K634))</f>
        <v/>
      </c>
      <c r="C634" s="85" t="str">
        <f aca="false">IF(A634="","",INDEX(Candidates!$D$1:$D$500,K634))</f>
        <v/>
      </c>
      <c r="D634" s="85" t="str">
        <f aca="false">IF(A634="","",L634)</f>
        <v/>
      </c>
      <c r="E634" s="85" t="str">
        <f aca="false">IF(A634="","",INDEX($O$2:$O$8,L634))</f>
        <v/>
      </c>
      <c r="F634" s="85" t="str">
        <f aca="false">IF(A634="","",IF(ISNUMBER(INDEX(Candidates!$A$1:$Z$500,K634,INDEX($P$2:$P$8,L634))),INDEX(Candidates!$A$1:$Z$500,K634,INDEX($P$2:$P$8,L634)),""))</f>
        <v/>
      </c>
      <c r="G634" s="85" t="str">
        <f aca="false">IF(A634="","",INDEX($Q$2:$Q$8,L634))</f>
        <v/>
      </c>
      <c r="H634" s="85" t="str">
        <f aca="false">IF(A634="","",IF(F634="","Not yet scored",IF(F634&gt;=G634,"Pass","Fail")))</f>
        <v/>
      </c>
      <c r="I634" s="85" t="str">
        <f aca="false">IF(A634="","",INDEX(Candidates!$B$1:$B$500,K634))</f>
        <v/>
      </c>
      <c r="K634" s="86" t="n">
        <f aca="false">INT((ROW()-2)/7)+2</f>
        <v>92</v>
      </c>
      <c r="L634" s="86" t="n">
        <f aca="false">MOD(ROW()-2,7)+1</f>
        <v>3</v>
      </c>
    </row>
    <row r="635" customFormat="false" ht="15" hidden="false" customHeight="false" outlineLevel="0" collapsed="false">
      <c r="A635" s="85" t="str">
        <f aca="false">IF(INDEX(Candidates!$A$1:$A$500,K635)="","",INDEX(Candidates!$A$1:$A$500,K635))</f>
        <v/>
      </c>
      <c r="B635" s="85" t="str">
        <f aca="false">IF(A635="","",INDEX(Candidates!$C$1:$C$500,K635))</f>
        <v/>
      </c>
      <c r="C635" s="85" t="str">
        <f aca="false">IF(A635="","",INDEX(Candidates!$D$1:$D$500,K635))</f>
        <v/>
      </c>
      <c r="D635" s="85" t="str">
        <f aca="false">IF(A635="","",L635)</f>
        <v/>
      </c>
      <c r="E635" s="85" t="str">
        <f aca="false">IF(A635="","",INDEX($O$2:$O$8,L635))</f>
        <v/>
      </c>
      <c r="F635" s="85" t="str">
        <f aca="false">IF(A635="","",IF(ISNUMBER(INDEX(Candidates!$A$1:$Z$500,K635,INDEX($P$2:$P$8,L635))),INDEX(Candidates!$A$1:$Z$500,K635,INDEX($P$2:$P$8,L635)),""))</f>
        <v/>
      </c>
      <c r="G635" s="85" t="str">
        <f aca="false">IF(A635="","",INDEX($Q$2:$Q$8,L635))</f>
        <v/>
      </c>
      <c r="H635" s="85" t="str">
        <f aca="false">IF(A635="","",IF(F635="","Not yet scored",IF(F635&gt;=G635,"Pass","Fail")))</f>
        <v/>
      </c>
      <c r="I635" s="85" t="str">
        <f aca="false">IF(A635="","",INDEX(Candidates!$B$1:$B$500,K635))</f>
        <v/>
      </c>
      <c r="K635" s="86" t="n">
        <f aca="false">INT((ROW()-2)/7)+2</f>
        <v>92</v>
      </c>
      <c r="L635" s="86" t="n">
        <f aca="false">MOD(ROW()-2,7)+1</f>
        <v>4</v>
      </c>
    </row>
    <row r="636" customFormat="false" ht="15" hidden="false" customHeight="false" outlineLevel="0" collapsed="false">
      <c r="A636" s="85" t="str">
        <f aca="false">IF(INDEX(Candidates!$A$1:$A$500,K636)="","",INDEX(Candidates!$A$1:$A$500,K636))</f>
        <v/>
      </c>
      <c r="B636" s="85" t="str">
        <f aca="false">IF(A636="","",INDEX(Candidates!$C$1:$C$500,K636))</f>
        <v/>
      </c>
      <c r="C636" s="85" t="str">
        <f aca="false">IF(A636="","",INDEX(Candidates!$D$1:$D$500,K636))</f>
        <v/>
      </c>
      <c r="D636" s="85" t="str">
        <f aca="false">IF(A636="","",L636)</f>
        <v/>
      </c>
      <c r="E636" s="85" t="str">
        <f aca="false">IF(A636="","",INDEX($O$2:$O$8,L636))</f>
        <v/>
      </c>
      <c r="F636" s="85" t="str">
        <f aca="false">IF(A636="","",IF(ISNUMBER(INDEX(Candidates!$A$1:$Z$500,K636,INDEX($P$2:$P$8,L636))),INDEX(Candidates!$A$1:$Z$500,K636,INDEX($P$2:$P$8,L636)),""))</f>
        <v/>
      </c>
      <c r="G636" s="85" t="str">
        <f aca="false">IF(A636="","",INDEX($Q$2:$Q$8,L636))</f>
        <v/>
      </c>
      <c r="H636" s="85" t="str">
        <f aca="false">IF(A636="","",IF(F636="","Not yet scored",IF(F636&gt;=G636,"Pass","Fail")))</f>
        <v/>
      </c>
      <c r="I636" s="85" t="str">
        <f aca="false">IF(A636="","",INDEX(Candidates!$B$1:$B$500,K636))</f>
        <v/>
      </c>
      <c r="K636" s="86" t="n">
        <f aca="false">INT((ROW()-2)/7)+2</f>
        <v>92</v>
      </c>
      <c r="L636" s="86" t="n">
        <f aca="false">MOD(ROW()-2,7)+1</f>
        <v>5</v>
      </c>
    </row>
    <row r="637" customFormat="false" ht="15" hidden="false" customHeight="false" outlineLevel="0" collapsed="false">
      <c r="A637" s="85" t="str">
        <f aca="false">IF(INDEX(Candidates!$A$1:$A$500,K637)="","",INDEX(Candidates!$A$1:$A$500,K637))</f>
        <v/>
      </c>
      <c r="B637" s="85" t="str">
        <f aca="false">IF(A637="","",INDEX(Candidates!$C$1:$C$500,K637))</f>
        <v/>
      </c>
      <c r="C637" s="85" t="str">
        <f aca="false">IF(A637="","",INDEX(Candidates!$D$1:$D$500,K637))</f>
        <v/>
      </c>
      <c r="D637" s="85" t="str">
        <f aca="false">IF(A637="","",L637)</f>
        <v/>
      </c>
      <c r="E637" s="85" t="str">
        <f aca="false">IF(A637="","",INDEX($O$2:$O$8,L637))</f>
        <v/>
      </c>
      <c r="F637" s="85" t="str">
        <f aca="false">IF(A637="","",IF(ISNUMBER(INDEX(Candidates!$A$1:$Z$500,K637,INDEX($P$2:$P$8,L637))),INDEX(Candidates!$A$1:$Z$500,K637,INDEX($P$2:$P$8,L637)),""))</f>
        <v/>
      </c>
      <c r="G637" s="85" t="str">
        <f aca="false">IF(A637="","",INDEX($Q$2:$Q$8,L637))</f>
        <v/>
      </c>
      <c r="H637" s="85" t="str">
        <f aca="false">IF(A637="","",IF(F637="","Not yet scored",IF(F637&gt;=G637,"Pass","Fail")))</f>
        <v/>
      </c>
      <c r="I637" s="85" t="str">
        <f aca="false">IF(A637="","",INDEX(Candidates!$B$1:$B$500,K637))</f>
        <v/>
      </c>
      <c r="K637" s="86" t="n">
        <f aca="false">INT((ROW()-2)/7)+2</f>
        <v>92</v>
      </c>
      <c r="L637" s="86" t="n">
        <f aca="false">MOD(ROW()-2,7)+1</f>
        <v>6</v>
      </c>
    </row>
    <row r="638" customFormat="false" ht="15" hidden="false" customHeight="false" outlineLevel="0" collapsed="false">
      <c r="A638" s="85" t="str">
        <f aca="false">IF(INDEX(Candidates!$A$1:$A$500,K638)="","",INDEX(Candidates!$A$1:$A$500,K638))</f>
        <v/>
      </c>
      <c r="B638" s="85" t="str">
        <f aca="false">IF(A638="","",INDEX(Candidates!$C$1:$C$500,K638))</f>
        <v/>
      </c>
      <c r="C638" s="85" t="str">
        <f aca="false">IF(A638="","",INDEX(Candidates!$D$1:$D$500,K638))</f>
        <v/>
      </c>
      <c r="D638" s="85" t="str">
        <f aca="false">IF(A638="","",L638)</f>
        <v/>
      </c>
      <c r="E638" s="85" t="str">
        <f aca="false">IF(A638="","",INDEX($O$2:$O$8,L638))</f>
        <v/>
      </c>
      <c r="F638" s="85" t="str">
        <f aca="false">IF(A638="","",IF(ISNUMBER(INDEX(Candidates!$A$1:$Z$500,K638,INDEX($P$2:$P$8,L638))),INDEX(Candidates!$A$1:$Z$500,K638,INDEX($P$2:$P$8,L638)),""))</f>
        <v/>
      </c>
      <c r="G638" s="85" t="str">
        <f aca="false">IF(A638="","",INDEX($Q$2:$Q$8,L638))</f>
        <v/>
      </c>
      <c r="H638" s="85" t="str">
        <f aca="false">IF(A638="","",IF(F638="","Not yet scored",IF(F638&gt;=G638,"Pass","Fail")))</f>
        <v/>
      </c>
      <c r="I638" s="85" t="str">
        <f aca="false">IF(A638="","",INDEX(Candidates!$B$1:$B$500,K638))</f>
        <v/>
      </c>
      <c r="K638" s="86" t="n">
        <f aca="false">INT((ROW()-2)/7)+2</f>
        <v>92</v>
      </c>
      <c r="L638" s="86" t="n">
        <f aca="false">MOD(ROW()-2,7)+1</f>
        <v>7</v>
      </c>
    </row>
    <row r="639" customFormat="false" ht="15" hidden="false" customHeight="false" outlineLevel="0" collapsed="false">
      <c r="A639" s="85" t="str">
        <f aca="false">IF(INDEX(Candidates!$A$1:$A$500,K639)="","",INDEX(Candidates!$A$1:$A$500,K639))</f>
        <v/>
      </c>
      <c r="B639" s="85" t="str">
        <f aca="false">IF(A639="","",INDEX(Candidates!$C$1:$C$500,K639))</f>
        <v/>
      </c>
      <c r="C639" s="85" t="str">
        <f aca="false">IF(A639="","",INDEX(Candidates!$D$1:$D$500,K639))</f>
        <v/>
      </c>
      <c r="D639" s="85" t="str">
        <f aca="false">IF(A639="","",L639)</f>
        <v/>
      </c>
      <c r="E639" s="85" t="str">
        <f aca="false">IF(A639="","",INDEX($O$2:$O$8,L639))</f>
        <v/>
      </c>
      <c r="F639" s="85" t="str">
        <f aca="false">IF(A639="","",IF(ISNUMBER(INDEX(Candidates!$A$1:$Z$500,K639,INDEX($P$2:$P$8,L639))),INDEX(Candidates!$A$1:$Z$500,K639,INDEX($P$2:$P$8,L639)),""))</f>
        <v/>
      </c>
      <c r="G639" s="85" t="str">
        <f aca="false">IF(A639="","",INDEX($Q$2:$Q$8,L639))</f>
        <v/>
      </c>
      <c r="H639" s="85" t="str">
        <f aca="false">IF(A639="","",IF(F639="","Not yet scored",IF(F639&gt;=G639,"Pass","Fail")))</f>
        <v/>
      </c>
      <c r="I639" s="85" t="str">
        <f aca="false">IF(A639="","",INDEX(Candidates!$B$1:$B$500,K639))</f>
        <v/>
      </c>
      <c r="K639" s="86" t="n">
        <f aca="false">INT((ROW()-2)/7)+2</f>
        <v>93</v>
      </c>
      <c r="L639" s="86" t="n">
        <f aca="false">MOD(ROW()-2,7)+1</f>
        <v>1</v>
      </c>
    </row>
    <row r="640" customFormat="false" ht="15" hidden="false" customHeight="false" outlineLevel="0" collapsed="false">
      <c r="A640" s="85" t="str">
        <f aca="false">IF(INDEX(Candidates!$A$1:$A$500,K640)="","",INDEX(Candidates!$A$1:$A$500,K640))</f>
        <v/>
      </c>
      <c r="B640" s="85" t="str">
        <f aca="false">IF(A640="","",INDEX(Candidates!$C$1:$C$500,K640))</f>
        <v/>
      </c>
      <c r="C640" s="85" t="str">
        <f aca="false">IF(A640="","",INDEX(Candidates!$D$1:$D$500,K640))</f>
        <v/>
      </c>
      <c r="D640" s="85" t="str">
        <f aca="false">IF(A640="","",L640)</f>
        <v/>
      </c>
      <c r="E640" s="85" t="str">
        <f aca="false">IF(A640="","",INDEX($O$2:$O$8,L640))</f>
        <v/>
      </c>
      <c r="F640" s="85" t="str">
        <f aca="false">IF(A640="","",IF(ISNUMBER(INDEX(Candidates!$A$1:$Z$500,K640,INDEX($P$2:$P$8,L640))),INDEX(Candidates!$A$1:$Z$500,K640,INDEX($P$2:$P$8,L640)),""))</f>
        <v/>
      </c>
      <c r="G640" s="85" t="str">
        <f aca="false">IF(A640="","",INDEX($Q$2:$Q$8,L640))</f>
        <v/>
      </c>
      <c r="H640" s="85" t="str">
        <f aca="false">IF(A640="","",IF(F640="","Not yet scored",IF(F640&gt;=G640,"Pass","Fail")))</f>
        <v/>
      </c>
      <c r="I640" s="85" t="str">
        <f aca="false">IF(A640="","",INDEX(Candidates!$B$1:$B$500,K640))</f>
        <v/>
      </c>
      <c r="K640" s="86" t="n">
        <f aca="false">INT((ROW()-2)/7)+2</f>
        <v>93</v>
      </c>
      <c r="L640" s="86" t="n">
        <f aca="false">MOD(ROW()-2,7)+1</f>
        <v>2</v>
      </c>
    </row>
    <row r="641" customFormat="false" ht="15" hidden="false" customHeight="false" outlineLevel="0" collapsed="false">
      <c r="A641" s="85" t="str">
        <f aca="false">IF(INDEX(Candidates!$A$1:$A$500,K641)="","",INDEX(Candidates!$A$1:$A$500,K641))</f>
        <v/>
      </c>
      <c r="B641" s="85" t="str">
        <f aca="false">IF(A641="","",INDEX(Candidates!$C$1:$C$500,K641))</f>
        <v/>
      </c>
      <c r="C641" s="85" t="str">
        <f aca="false">IF(A641="","",INDEX(Candidates!$D$1:$D$500,K641))</f>
        <v/>
      </c>
      <c r="D641" s="85" t="str">
        <f aca="false">IF(A641="","",L641)</f>
        <v/>
      </c>
      <c r="E641" s="85" t="str">
        <f aca="false">IF(A641="","",INDEX($O$2:$O$8,L641))</f>
        <v/>
      </c>
      <c r="F641" s="85" t="str">
        <f aca="false">IF(A641="","",IF(ISNUMBER(INDEX(Candidates!$A$1:$Z$500,K641,INDEX($P$2:$P$8,L641))),INDEX(Candidates!$A$1:$Z$500,K641,INDEX($P$2:$P$8,L641)),""))</f>
        <v/>
      </c>
      <c r="G641" s="85" t="str">
        <f aca="false">IF(A641="","",INDEX($Q$2:$Q$8,L641))</f>
        <v/>
      </c>
      <c r="H641" s="85" t="str">
        <f aca="false">IF(A641="","",IF(F641="","Not yet scored",IF(F641&gt;=G641,"Pass","Fail")))</f>
        <v/>
      </c>
      <c r="I641" s="85" t="str">
        <f aca="false">IF(A641="","",INDEX(Candidates!$B$1:$B$500,K641))</f>
        <v/>
      </c>
      <c r="K641" s="86" t="n">
        <f aca="false">INT((ROW()-2)/7)+2</f>
        <v>93</v>
      </c>
      <c r="L641" s="86" t="n">
        <f aca="false">MOD(ROW()-2,7)+1</f>
        <v>3</v>
      </c>
    </row>
    <row r="642" customFormat="false" ht="15" hidden="false" customHeight="false" outlineLevel="0" collapsed="false">
      <c r="A642" s="85" t="str">
        <f aca="false">IF(INDEX(Candidates!$A$1:$A$500,K642)="","",INDEX(Candidates!$A$1:$A$500,K642))</f>
        <v/>
      </c>
      <c r="B642" s="85" t="str">
        <f aca="false">IF(A642="","",INDEX(Candidates!$C$1:$C$500,K642))</f>
        <v/>
      </c>
      <c r="C642" s="85" t="str">
        <f aca="false">IF(A642="","",INDEX(Candidates!$D$1:$D$500,K642))</f>
        <v/>
      </c>
      <c r="D642" s="85" t="str">
        <f aca="false">IF(A642="","",L642)</f>
        <v/>
      </c>
      <c r="E642" s="85" t="str">
        <f aca="false">IF(A642="","",INDEX($O$2:$O$8,L642))</f>
        <v/>
      </c>
      <c r="F642" s="85" t="str">
        <f aca="false">IF(A642="","",IF(ISNUMBER(INDEX(Candidates!$A$1:$Z$500,K642,INDEX($P$2:$P$8,L642))),INDEX(Candidates!$A$1:$Z$500,K642,INDEX($P$2:$P$8,L642)),""))</f>
        <v/>
      </c>
      <c r="G642" s="85" t="str">
        <f aca="false">IF(A642="","",INDEX($Q$2:$Q$8,L642))</f>
        <v/>
      </c>
      <c r="H642" s="85" t="str">
        <f aca="false">IF(A642="","",IF(F642="","Not yet scored",IF(F642&gt;=G642,"Pass","Fail")))</f>
        <v/>
      </c>
      <c r="I642" s="85" t="str">
        <f aca="false">IF(A642="","",INDEX(Candidates!$B$1:$B$500,K642))</f>
        <v/>
      </c>
      <c r="K642" s="86" t="n">
        <f aca="false">INT((ROW()-2)/7)+2</f>
        <v>93</v>
      </c>
      <c r="L642" s="86" t="n">
        <f aca="false">MOD(ROW()-2,7)+1</f>
        <v>4</v>
      </c>
    </row>
    <row r="643" customFormat="false" ht="15" hidden="false" customHeight="false" outlineLevel="0" collapsed="false">
      <c r="A643" s="85" t="str">
        <f aca="false">IF(INDEX(Candidates!$A$1:$A$500,K643)="","",INDEX(Candidates!$A$1:$A$500,K643))</f>
        <v/>
      </c>
      <c r="B643" s="85" t="str">
        <f aca="false">IF(A643="","",INDEX(Candidates!$C$1:$C$500,K643))</f>
        <v/>
      </c>
      <c r="C643" s="85" t="str">
        <f aca="false">IF(A643="","",INDEX(Candidates!$D$1:$D$500,K643))</f>
        <v/>
      </c>
      <c r="D643" s="85" t="str">
        <f aca="false">IF(A643="","",L643)</f>
        <v/>
      </c>
      <c r="E643" s="85" t="str">
        <f aca="false">IF(A643="","",INDEX($O$2:$O$8,L643))</f>
        <v/>
      </c>
      <c r="F643" s="85" t="str">
        <f aca="false">IF(A643="","",IF(ISNUMBER(INDEX(Candidates!$A$1:$Z$500,K643,INDEX($P$2:$P$8,L643))),INDEX(Candidates!$A$1:$Z$500,K643,INDEX($P$2:$P$8,L643)),""))</f>
        <v/>
      </c>
      <c r="G643" s="85" t="str">
        <f aca="false">IF(A643="","",INDEX($Q$2:$Q$8,L643))</f>
        <v/>
      </c>
      <c r="H643" s="85" t="str">
        <f aca="false">IF(A643="","",IF(F643="","Not yet scored",IF(F643&gt;=G643,"Pass","Fail")))</f>
        <v/>
      </c>
      <c r="I643" s="85" t="str">
        <f aca="false">IF(A643="","",INDEX(Candidates!$B$1:$B$500,K643))</f>
        <v/>
      </c>
      <c r="K643" s="86" t="n">
        <f aca="false">INT((ROW()-2)/7)+2</f>
        <v>93</v>
      </c>
      <c r="L643" s="86" t="n">
        <f aca="false">MOD(ROW()-2,7)+1</f>
        <v>5</v>
      </c>
    </row>
    <row r="644" customFormat="false" ht="15" hidden="false" customHeight="false" outlineLevel="0" collapsed="false">
      <c r="A644" s="85" t="str">
        <f aca="false">IF(INDEX(Candidates!$A$1:$A$500,K644)="","",INDEX(Candidates!$A$1:$A$500,K644))</f>
        <v/>
      </c>
      <c r="B644" s="85" t="str">
        <f aca="false">IF(A644="","",INDEX(Candidates!$C$1:$C$500,K644))</f>
        <v/>
      </c>
      <c r="C644" s="85" t="str">
        <f aca="false">IF(A644="","",INDEX(Candidates!$D$1:$D$500,K644))</f>
        <v/>
      </c>
      <c r="D644" s="85" t="str">
        <f aca="false">IF(A644="","",L644)</f>
        <v/>
      </c>
      <c r="E644" s="85" t="str">
        <f aca="false">IF(A644="","",INDEX($O$2:$O$8,L644))</f>
        <v/>
      </c>
      <c r="F644" s="85" t="str">
        <f aca="false">IF(A644="","",IF(ISNUMBER(INDEX(Candidates!$A$1:$Z$500,K644,INDEX($P$2:$P$8,L644))),INDEX(Candidates!$A$1:$Z$500,K644,INDEX($P$2:$P$8,L644)),""))</f>
        <v/>
      </c>
      <c r="G644" s="85" t="str">
        <f aca="false">IF(A644="","",INDEX($Q$2:$Q$8,L644))</f>
        <v/>
      </c>
      <c r="H644" s="85" t="str">
        <f aca="false">IF(A644="","",IF(F644="","Not yet scored",IF(F644&gt;=G644,"Pass","Fail")))</f>
        <v/>
      </c>
      <c r="I644" s="85" t="str">
        <f aca="false">IF(A644="","",INDEX(Candidates!$B$1:$B$500,K644))</f>
        <v/>
      </c>
      <c r="K644" s="86" t="n">
        <f aca="false">INT((ROW()-2)/7)+2</f>
        <v>93</v>
      </c>
      <c r="L644" s="86" t="n">
        <f aca="false">MOD(ROW()-2,7)+1</f>
        <v>6</v>
      </c>
    </row>
    <row r="645" customFormat="false" ht="15" hidden="false" customHeight="false" outlineLevel="0" collapsed="false">
      <c r="A645" s="85" t="str">
        <f aca="false">IF(INDEX(Candidates!$A$1:$A$500,K645)="","",INDEX(Candidates!$A$1:$A$500,K645))</f>
        <v/>
      </c>
      <c r="B645" s="85" t="str">
        <f aca="false">IF(A645="","",INDEX(Candidates!$C$1:$C$500,K645))</f>
        <v/>
      </c>
      <c r="C645" s="85" t="str">
        <f aca="false">IF(A645="","",INDEX(Candidates!$D$1:$D$500,K645))</f>
        <v/>
      </c>
      <c r="D645" s="85" t="str">
        <f aca="false">IF(A645="","",L645)</f>
        <v/>
      </c>
      <c r="E645" s="85" t="str">
        <f aca="false">IF(A645="","",INDEX($O$2:$O$8,L645))</f>
        <v/>
      </c>
      <c r="F645" s="85" t="str">
        <f aca="false">IF(A645="","",IF(ISNUMBER(INDEX(Candidates!$A$1:$Z$500,K645,INDEX($P$2:$P$8,L645))),INDEX(Candidates!$A$1:$Z$500,K645,INDEX($P$2:$P$8,L645)),""))</f>
        <v/>
      </c>
      <c r="G645" s="85" t="str">
        <f aca="false">IF(A645="","",INDEX($Q$2:$Q$8,L645))</f>
        <v/>
      </c>
      <c r="H645" s="85" t="str">
        <f aca="false">IF(A645="","",IF(F645="","Not yet scored",IF(F645&gt;=G645,"Pass","Fail")))</f>
        <v/>
      </c>
      <c r="I645" s="85" t="str">
        <f aca="false">IF(A645="","",INDEX(Candidates!$B$1:$B$500,K645))</f>
        <v/>
      </c>
      <c r="K645" s="86" t="n">
        <f aca="false">INT((ROW()-2)/7)+2</f>
        <v>93</v>
      </c>
      <c r="L645" s="86" t="n">
        <f aca="false">MOD(ROW()-2,7)+1</f>
        <v>7</v>
      </c>
    </row>
    <row r="646" customFormat="false" ht="15" hidden="false" customHeight="false" outlineLevel="0" collapsed="false">
      <c r="A646" s="85" t="str">
        <f aca="false">IF(INDEX(Candidates!$A$1:$A$500,K646)="","",INDEX(Candidates!$A$1:$A$500,K646))</f>
        <v/>
      </c>
      <c r="B646" s="85" t="str">
        <f aca="false">IF(A646="","",INDEX(Candidates!$C$1:$C$500,K646))</f>
        <v/>
      </c>
      <c r="C646" s="85" t="str">
        <f aca="false">IF(A646="","",INDEX(Candidates!$D$1:$D$500,K646))</f>
        <v/>
      </c>
      <c r="D646" s="85" t="str">
        <f aca="false">IF(A646="","",L646)</f>
        <v/>
      </c>
      <c r="E646" s="85" t="str">
        <f aca="false">IF(A646="","",INDEX($O$2:$O$8,L646))</f>
        <v/>
      </c>
      <c r="F646" s="85" t="str">
        <f aca="false">IF(A646="","",IF(ISNUMBER(INDEX(Candidates!$A$1:$Z$500,K646,INDEX($P$2:$P$8,L646))),INDEX(Candidates!$A$1:$Z$500,K646,INDEX($P$2:$P$8,L646)),""))</f>
        <v/>
      </c>
      <c r="G646" s="85" t="str">
        <f aca="false">IF(A646="","",INDEX($Q$2:$Q$8,L646))</f>
        <v/>
      </c>
      <c r="H646" s="85" t="str">
        <f aca="false">IF(A646="","",IF(F646="","Not yet scored",IF(F646&gt;=G646,"Pass","Fail")))</f>
        <v/>
      </c>
      <c r="I646" s="85" t="str">
        <f aca="false">IF(A646="","",INDEX(Candidates!$B$1:$B$500,K646))</f>
        <v/>
      </c>
      <c r="K646" s="86" t="n">
        <f aca="false">INT((ROW()-2)/7)+2</f>
        <v>94</v>
      </c>
      <c r="L646" s="86" t="n">
        <f aca="false">MOD(ROW()-2,7)+1</f>
        <v>1</v>
      </c>
    </row>
    <row r="647" customFormat="false" ht="15" hidden="false" customHeight="false" outlineLevel="0" collapsed="false">
      <c r="A647" s="85" t="str">
        <f aca="false">IF(INDEX(Candidates!$A$1:$A$500,K647)="","",INDEX(Candidates!$A$1:$A$500,K647))</f>
        <v/>
      </c>
      <c r="B647" s="85" t="str">
        <f aca="false">IF(A647="","",INDEX(Candidates!$C$1:$C$500,K647))</f>
        <v/>
      </c>
      <c r="C647" s="85" t="str">
        <f aca="false">IF(A647="","",INDEX(Candidates!$D$1:$D$500,K647))</f>
        <v/>
      </c>
      <c r="D647" s="85" t="str">
        <f aca="false">IF(A647="","",L647)</f>
        <v/>
      </c>
      <c r="E647" s="85" t="str">
        <f aca="false">IF(A647="","",INDEX($O$2:$O$8,L647))</f>
        <v/>
      </c>
      <c r="F647" s="85" t="str">
        <f aca="false">IF(A647="","",IF(ISNUMBER(INDEX(Candidates!$A$1:$Z$500,K647,INDEX($P$2:$P$8,L647))),INDEX(Candidates!$A$1:$Z$500,K647,INDEX($P$2:$P$8,L647)),""))</f>
        <v/>
      </c>
      <c r="G647" s="85" t="str">
        <f aca="false">IF(A647="","",INDEX($Q$2:$Q$8,L647))</f>
        <v/>
      </c>
      <c r="H647" s="85" t="str">
        <f aca="false">IF(A647="","",IF(F647="","Not yet scored",IF(F647&gt;=G647,"Pass","Fail")))</f>
        <v/>
      </c>
      <c r="I647" s="85" t="str">
        <f aca="false">IF(A647="","",INDEX(Candidates!$B$1:$B$500,K647))</f>
        <v/>
      </c>
      <c r="K647" s="86" t="n">
        <f aca="false">INT((ROW()-2)/7)+2</f>
        <v>94</v>
      </c>
      <c r="L647" s="86" t="n">
        <f aca="false">MOD(ROW()-2,7)+1</f>
        <v>2</v>
      </c>
    </row>
    <row r="648" customFormat="false" ht="15" hidden="false" customHeight="false" outlineLevel="0" collapsed="false">
      <c r="A648" s="85" t="str">
        <f aca="false">IF(INDEX(Candidates!$A$1:$A$500,K648)="","",INDEX(Candidates!$A$1:$A$500,K648))</f>
        <v/>
      </c>
      <c r="B648" s="85" t="str">
        <f aca="false">IF(A648="","",INDEX(Candidates!$C$1:$C$500,K648))</f>
        <v/>
      </c>
      <c r="C648" s="85" t="str">
        <f aca="false">IF(A648="","",INDEX(Candidates!$D$1:$D$500,K648))</f>
        <v/>
      </c>
      <c r="D648" s="85" t="str">
        <f aca="false">IF(A648="","",L648)</f>
        <v/>
      </c>
      <c r="E648" s="85" t="str">
        <f aca="false">IF(A648="","",INDEX($O$2:$O$8,L648))</f>
        <v/>
      </c>
      <c r="F648" s="85" t="str">
        <f aca="false">IF(A648="","",IF(ISNUMBER(INDEX(Candidates!$A$1:$Z$500,K648,INDEX($P$2:$P$8,L648))),INDEX(Candidates!$A$1:$Z$500,K648,INDEX($P$2:$P$8,L648)),""))</f>
        <v/>
      </c>
      <c r="G648" s="85" t="str">
        <f aca="false">IF(A648="","",INDEX($Q$2:$Q$8,L648))</f>
        <v/>
      </c>
      <c r="H648" s="85" t="str">
        <f aca="false">IF(A648="","",IF(F648="","Not yet scored",IF(F648&gt;=G648,"Pass","Fail")))</f>
        <v/>
      </c>
      <c r="I648" s="85" t="str">
        <f aca="false">IF(A648="","",INDEX(Candidates!$B$1:$B$500,K648))</f>
        <v/>
      </c>
      <c r="K648" s="86" t="n">
        <f aca="false">INT((ROW()-2)/7)+2</f>
        <v>94</v>
      </c>
      <c r="L648" s="86" t="n">
        <f aca="false">MOD(ROW()-2,7)+1</f>
        <v>3</v>
      </c>
    </row>
    <row r="649" customFormat="false" ht="15" hidden="false" customHeight="false" outlineLevel="0" collapsed="false">
      <c r="A649" s="85" t="str">
        <f aca="false">IF(INDEX(Candidates!$A$1:$A$500,K649)="","",INDEX(Candidates!$A$1:$A$500,K649))</f>
        <v/>
      </c>
      <c r="B649" s="85" t="str">
        <f aca="false">IF(A649="","",INDEX(Candidates!$C$1:$C$500,K649))</f>
        <v/>
      </c>
      <c r="C649" s="85" t="str">
        <f aca="false">IF(A649="","",INDEX(Candidates!$D$1:$D$500,K649))</f>
        <v/>
      </c>
      <c r="D649" s="85" t="str">
        <f aca="false">IF(A649="","",L649)</f>
        <v/>
      </c>
      <c r="E649" s="85" t="str">
        <f aca="false">IF(A649="","",INDEX($O$2:$O$8,L649))</f>
        <v/>
      </c>
      <c r="F649" s="85" t="str">
        <f aca="false">IF(A649="","",IF(ISNUMBER(INDEX(Candidates!$A$1:$Z$500,K649,INDEX($P$2:$P$8,L649))),INDEX(Candidates!$A$1:$Z$500,K649,INDEX($P$2:$P$8,L649)),""))</f>
        <v/>
      </c>
      <c r="G649" s="85" t="str">
        <f aca="false">IF(A649="","",INDEX($Q$2:$Q$8,L649))</f>
        <v/>
      </c>
      <c r="H649" s="85" t="str">
        <f aca="false">IF(A649="","",IF(F649="","Not yet scored",IF(F649&gt;=G649,"Pass","Fail")))</f>
        <v/>
      </c>
      <c r="I649" s="85" t="str">
        <f aca="false">IF(A649="","",INDEX(Candidates!$B$1:$B$500,K649))</f>
        <v/>
      </c>
      <c r="K649" s="86" t="n">
        <f aca="false">INT((ROW()-2)/7)+2</f>
        <v>94</v>
      </c>
      <c r="L649" s="86" t="n">
        <f aca="false">MOD(ROW()-2,7)+1</f>
        <v>4</v>
      </c>
    </row>
    <row r="650" customFormat="false" ht="15" hidden="false" customHeight="false" outlineLevel="0" collapsed="false">
      <c r="A650" s="85" t="str">
        <f aca="false">IF(INDEX(Candidates!$A$1:$A$500,K650)="","",INDEX(Candidates!$A$1:$A$500,K650))</f>
        <v/>
      </c>
      <c r="B650" s="85" t="str">
        <f aca="false">IF(A650="","",INDEX(Candidates!$C$1:$C$500,K650))</f>
        <v/>
      </c>
      <c r="C650" s="85" t="str">
        <f aca="false">IF(A650="","",INDEX(Candidates!$D$1:$D$500,K650))</f>
        <v/>
      </c>
      <c r="D650" s="85" t="str">
        <f aca="false">IF(A650="","",L650)</f>
        <v/>
      </c>
      <c r="E650" s="85" t="str">
        <f aca="false">IF(A650="","",INDEX($O$2:$O$8,L650))</f>
        <v/>
      </c>
      <c r="F650" s="85" t="str">
        <f aca="false">IF(A650="","",IF(ISNUMBER(INDEX(Candidates!$A$1:$Z$500,K650,INDEX($P$2:$P$8,L650))),INDEX(Candidates!$A$1:$Z$500,K650,INDEX($P$2:$P$8,L650)),""))</f>
        <v/>
      </c>
      <c r="G650" s="85" t="str">
        <f aca="false">IF(A650="","",INDEX($Q$2:$Q$8,L650))</f>
        <v/>
      </c>
      <c r="H650" s="85" t="str">
        <f aca="false">IF(A650="","",IF(F650="","Not yet scored",IF(F650&gt;=G650,"Pass","Fail")))</f>
        <v/>
      </c>
      <c r="I650" s="85" t="str">
        <f aca="false">IF(A650="","",INDEX(Candidates!$B$1:$B$500,K650))</f>
        <v/>
      </c>
      <c r="K650" s="86" t="n">
        <f aca="false">INT((ROW()-2)/7)+2</f>
        <v>94</v>
      </c>
      <c r="L650" s="86" t="n">
        <f aca="false">MOD(ROW()-2,7)+1</f>
        <v>5</v>
      </c>
    </row>
    <row r="651" customFormat="false" ht="15" hidden="false" customHeight="false" outlineLevel="0" collapsed="false">
      <c r="A651" s="85" t="str">
        <f aca="false">IF(INDEX(Candidates!$A$1:$A$500,K651)="","",INDEX(Candidates!$A$1:$A$500,K651))</f>
        <v/>
      </c>
      <c r="B651" s="85" t="str">
        <f aca="false">IF(A651="","",INDEX(Candidates!$C$1:$C$500,K651))</f>
        <v/>
      </c>
      <c r="C651" s="85" t="str">
        <f aca="false">IF(A651="","",INDEX(Candidates!$D$1:$D$500,K651))</f>
        <v/>
      </c>
      <c r="D651" s="85" t="str">
        <f aca="false">IF(A651="","",L651)</f>
        <v/>
      </c>
      <c r="E651" s="85" t="str">
        <f aca="false">IF(A651="","",INDEX($O$2:$O$8,L651))</f>
        <v/>
      </c>
      <c r="F651" s="85" t="str">
        <f aca="false">IF(A651="","",IF(ISNUMBER(INDEX(Candidates!$A$1:$Z$500,K651,INDEX($P$2:$P$8,L651))),INDEX(Candidates!$A$1:$Z$500,K651,INDEX($P$2:$P$8,L651)),""))</f>
        <v/>
      </c>
      <c r="G651" s="85" t="str">
        <f aca="false">IF(A651="","",INDEX($Q$2:$Q$8,L651))</f>
        <v/>
      </c>
      <c r="H651" s="85" t="str">
        <f aca="false">IF(A651="","",IF(F651="","Not yet scored",IF(F651&gt;=G651,"Pass","Fail")))</f>
        <v/>
      </c>
      <c r="I651" s="85" t="str">
        <f aca="false">IF(A651="","",INDEX(Candidates!$B$1:$B$500,K651))</f>
        <v/>
      </c>
      <c r="K651" s="86" t="n">
        <f aca="false">INT((ROW()-2)/7)+2</f>
        <v>94</v>
      </c>
      <c r="L651" s="86" t="n">
        <f aca="false">MOD(ROW()-2,7)+1</f>
        <v>6</v>
      </c>
    </row>
    <row r="652" customFormat="false" ht="15" hidden="false" customHeight="false" outlineLevel="0" collapsed="false">
      <c r="A652" s="85" t="str">
        <f aca="false">IF(INDEX(Candidates!$A$1:$A$500,K652)="","",INDEX(Candidates!$A$1:$A$500,K652))</f>
        <v/>
      </c>
      <c r="B652" s="85" t="str">
        <f aca="false">IF(A652="","",INDEX(Candidates!$C$1:$C$500,K652))</f>
        <v/>
      </c>
      <c r="C652" s="85" t="str">
        <f aca="false">IF(A652="","",INDEX(Candidates!$D$1:$D$500,K652))</f>
        <v/>
      </c>
      <c r="D652" s="85" t="str">
        <f aca="false">IF(A652="","",L652)</f>
        <v/>
      </c>
      <c r="E652" s="85" t="str">
        <f aca="false">IF(A652="","",INDEX($O$2:$O$8,L652))</f>
        <v/>
      </c>
      <c r="F652" s="85" t="str">
        <f aca="false">IF(A652="","",IF(ISNUMBER(INDEX(Candidates!$A$1:$Z$500,K652,INDEX($P$2:$P$8,L652))),INDEX(Candidates!$A$1:$Z$500,K652,INDEX($P$2:$P$8,L652)),""))</f>
        <v/>
      </c>
      <c r="G652" s="85" t="str">
        <f aca="false">IF(A652="","",INDEX($Q$2:$Q$8,L652))</f>
        <v/>
      </c>
      <c r="H652" s="85" t="str">
        <f aca="false">IF(A652="","",IF(F652="","Not yet scored",IF(F652&gt;=G652,"Pass","Fail")))</f>
        <v/>
      </c>
      <c r="I652" s="85" t="str">
        <f aca="false">IF(A652="","",INDEX(Candidates!$B$1:$B$500,K652))</f>
        <v/>
      </c>
      <c r="K652" s="86" t="n">
        <f aca="false">INT((ROW()-2)/7)+2</f>
        <v>94</v>
      </c>
      <c r="L652" s="86" t="n">
        <f aca="false">MOD(ROW()-2,7)+1</f>
        <v>7</v>
      </c>
    </row>
    <row r="653" customFormat="false" ht="15" hidden="false" customHeight="false" outlineLevel="0" collapsed="false">
      <c r="A653" s="85" t="str">
        <f aca="false">IF(INDEX(Candidates!$A$1:$A$500,K653)="","",INDEX(Candidates!$A$1:$A$500,K653))</f>
        <v/>
      </c>
      <c r="B653" s="85" t="str">
        <f aca="false">IF(A653="","",INDEX(Candidates!$C$1:$C$500,K653))</f>
        <v/>
      </c>
      <c r="C653" s="85" t="str">
        <f aca="false">IF(A653="","",INDEX(Candidates!$D$1:$D$500,K653))</f>
        <v/>
      </c>
      <c r="D653" s="85" t="str">
        <f aca="false">IF(A653="","",L653)</f>
        <v/>
      </c>
      <c r="E653" s="85" t="str">
        <f aca="false">IF(A653="","",INDEX($O$2:$O$8,L653))</f>
        <v/>
      </c>
      <c r="F653" s="85" t="str">
        <f aca="false">IF(A653="","",IF(ISNUMBER(INDEX(Candidates!$A$1:$Z$500,K653,INDEX($P$2:$P$8,L653))),INDEX(Candidates!$A$1:$Z$500,K653,INDEX($P$2:$P$8,L653)),""))</f>
        <v/>
      </c>
      <c r="G653" s="85" t="str">
        <f aca="false">IF(A653="","",INDEX($Q$2:$Q$8,L653))</f>
        <v/>
      </c>
      <c r="H653" s="85" t="str">
        <f aca="false">IF(A653="","",IF(F653="","Not yet scored",IF(F653&gt;=G653,"Pass","Fail")))</f>
        <v/>
      </c>
      <c r="I653" s="85" t="str">
        <f aca="false">IF(A653="","",INDEX(Candidates!$B$1:$B$500,K653))</f>
        <v/>
      </c>
      <c r="K653" s="86" t="n">
        <f aca="false">INT((ROW()-2)/7)+2</f>
        <v>95</v>
      </c>
      <c r="L653" s="86" t="n">
        <f aca="false">MOD(ROW()-2,7)+1</f>
        <v>1</v>
      </c>
    </row>
    <row r="654" customFormat="false" ht="15" hidden="false" customHeight="false" outlineLevel="0" collapsed="false">
      <c r="A654" s="85" t="str">
        <f aca="false">IF(INDEX(Candidates!$A$1:$A$500,K654)="","",INDEX(Candidates!$A$1:$A$500,K654))</f>
        <v/>
      </c>
      <c r="B654" s="85" t="str">
        <f aca="false">IF(A654="","",INDEX(Candidates!$C$1:$C$500,K654))</f>
        <v/>
      </c>
      <c r="C654" s="85" t="str">
        <f aca="false">IF(A654="","",INDEX(Candidates!$D$1:$D$500,K654))</f>
        <v/>
      </c>
      <c r="D654" s="85" t="str">
        <f aca="false">IF(A654="","",L654)</f>
        <v/>
      </c>
      <c r="E654" s="85" t="str">
        <f aca="false">IF(A654="","",INDEX($O$2:$O$8,L654))</f>
        <v/>
      </c>
      <c r="F654" s="85" t="str">
        <f aca="false">IF(A654="","",IF(ISNUMBER(INDEX(Candidates!$A$1:$Z$500,K654,INDEX($P$2:$P$8,L654))),INDEX(Candidates!$A$1:$Z$500,K654,INDEX($P$2:$P$8,L654)),""))</f>
        <v/>
      </c>
      <c r="G654" s="85" t="str">
        <f aca="false">IF(A654="","",INDEX($Q$2:$Q$8,L654))</f>
        <v/>
      </c>
      <c r="H654" s="85" t="str">
        <f aca="false">IF(A654="","",IF(F654="","Not yet scored",IF(F654&gt;=G654,"Pass","Fail")))</f>
        <v/>
      </c>
      <c r="I654" s="85" t="str">
        <f aca="false">IF(A654="","",INDEX(Candidates!$B$1:$B$500,K654))</f>
        <v/>
      </c>
      <c r="K654" s="86" t="n">
        <f aca="false">INT((ROW()-2)/7)+2</f>
        <v>95</v>
      </c>
      <c r="L654" s="86" t="n">
        <f aca="false">MOD(ROW()-2,7)+1</f>
        <v>2</v>
      </c>
    </row>
    <row r="655" customFormat="false" ht="15" hidden="false" customHeight="false" outlineLevel="0" collapsed="false">
      <c r="A655" s="85" t="str">
        <f aca="false">IF(INDEX(Candidates!$A$1:$A$500,K655)="","",INDEX(Candidates!$A$1:$A$500,K655))</f>
        <v/>
      </c>
      <c r="B655" s="85" t="str">
        <f aca="false">IF(A655="","",INDEX(Candidates!$C$1:$C$500,K655))</f>
        <v/>
      </c>
      <c r="C655" s="85" t="str">
        <f aca="false">IF(A655="","",INDEX(Candidates!$D$1:$D$500,K655))</f>
        <v/>
      </c>
      <c r="D655" s="85" t="str">
        <f aca="false">IF(A655="","",L655)</f>
        <v/>
      </c>
      <c r="E655" s="85" t="str">
        <f aca="false">IF(A655="","",INDEX($O$2:$O$8,L655))</f>
        <v/>
      </c>
      <c r="F655" s="85" t="str">
        <f aca="false">IF(A655="","",IF(ISNUMBER(INDEX(Candidates!$A$1:$Z$500,K655,INDEX($P$2:$P$8,L655))),INDEX(Candidates!$A$1:$Z$500,K655,INDEX($P$2:$P$8,L655)),""))</f>
        <v/>
      </c>
      <c r="G655" s="85" t="str">
        <f aca="false">IF(A655="","",INDEX($Q$2:$Q$8,L655))</f>
        <v/>
      </c>
      <c r="H655" s="85" t="str">
        <f aca="false">IF(A655="","",IF(F655="","Not yet scored",IF(F655&gt;=G655,"Pass","Fail")))</f>
        <v/>
      </c>
      <c r="I655" s="85" t="str">
        <f aca="false">IF(A655="","",INDEX(Candidates!$B$1:$B$500,K655))</f>
        <v/>
      </c>
      <c r="K655" s="86" t="n">
        <f aca="false">INT((ROW()-2)/7)+2</f>
        <v>95</v>
      </c>
      <c r="L655" s="86" t="n">
        <f aca="false">MOD(ROW()-2,7)+1</f>
        <v>3</v>
      </c>
    </row>
    <row r="656" customFormat="false" ht="15" hidden="false" customHeight="false" outlineLevel="0" collapsed="false">
      <c r="A656" s="85" t="str">
        <f aca="false">IF(INDEX(Candidates!$A$1:$A$500,K656)="","",INDEX(Candidates!$A$1:$A$500,K656))</f>
        <v/>
      </c>
      <c r="B656" s="85" t="str">
        <f aca="false">IF(A656="","",INDEX(Candidates!$C$1:$C$500,K656))</f>
        <v/>
      </c>
      <c r="C656" s="85" t="str">
        <f aca="false">IF(A656="","",INDEX(Candidates!$D$1:$D$500,K656))</f>
        <v/>
      </c>
      <c r="D656" s="85" t="str">
        <f aca="false">IF(A656="","",L656)</f>
        <v/>
      </c>
      <c r="E656" s="85" t="str">
        <f aca="false">IF(A656="","",INDEX($O$2:$O$8,L656))</f>
        <v/>
      </c>
      <c r="F656" s="85" t="str">
        <f aca="false">IF(A656="","",IF(ISNUMBER(INDEX(Candidates!$A$1:$Z$500,K656,INDEX($P$2:$P$8,L656))),INDEX(Candidates!$A$1:$Z$500,K656,INDEX($P$2:$P$8,L656)),""))</f>
        <v/>
      </c>
      <c r="G656" s="85" t="str">
        <f aca="false">IF(A656="","",INDEX($Q$2:$Q$8,L656))</f>
        <v/>
      </c>
      <c r="H656" s="85" t="str">
        <f aca="false">IF(A656="","",IF(F656="","Not yet scored",IF(F656&gt;=G656,"Pass","Fail")))</f>
        <v/>
      </c>
      <c r="I656" s="85" t="str">
        <f aca="false">IF(A656="","",INDEX(Candidates!$B$1:$B$500,K656))</f>
        <v/>
      </c>
      <c r="K656" s="86" t="n">
        <f aca="false">INT((ROW()-2)/7)+2</f>
        <v>95</v>
      </c>
      <c r="L656" s="86" t="n">
        <f aca="false">MOD(ROW()-2,7)+1</f>
        <v>4</v>
      </c>
    </row>
    <row r="657" customFormat="false" ht="15" hidden="false" customHeight="false" outlineLevel="0" collapsed="false">
      <c r="A657" s="85" t="str">
        <f aca="false">IF(INDEX(Candidates!$A$1:$A$500,K657)="","",INDEX(Candidates!$A$1:$A$500,K657))</f>
        <v/>
      </c>
      <c r="B657" s="85" t="str">
        <f aca="false">IF(A657="","",INDEX(Candidates!$C$1:$C$500,K657))</f>
        <v/>
      </c>
      <c r="C657" s="85" t="str">
        <f aca="false">IF(A657="","",INDEX(Candidates!$D$1:$D$500,K657))</f>
        <v/>
      </c>
      <c r="D657" s="85" t="str">
        <f aca="false">IF(A657="","",L657)</f>
        <v/>
      </c>
      <c r="E657" s="85" t="str">
        <f aca="false">IF(A657="","",INDEX($O$2:$O$8,L657))</f>
        <v/>
      </c>
      <c r="F657" s="85" t="str">
        <f aca="false">IF(A657="","",IF(ISNUMBER(INDEX(Candidates!$A$1:$Z$500,K657,INDEX($P$2:$P$8,L657))),INDEX(Candidates!$A$1:$Z$500,K657,INDEX($P$2:$P$8,L657)),""))</f>
        <v/>
      </c>
      <c r="G657" s="85" t="str">
        <f aca="false">IF(A657="","",INDEX($Q$2:$Q$8,L657))</f>
        <v/>
      </c>
      <c r="H657" s="85" t="str">
        <f aca="false">IF(A657="","",IF(F657="","Not yet scored",IF(F657&gt;=G657,"Pass","Fail")))</f>
        <v/>
      </c>
      <c r="I657" s="85" t="str">
        <f aca="false">IF(A657="","",INDEX(Candidates!$B$1:$B$500,K657))</f>
        <v/>
      </c>
      <c r="K657" s="86" t="n">
        <f aca="false">INT((ROW()-2)/7)+2</f>
        <v>95</v>
      </c>
      <c r="L657" s="86" t="n">
        <f aca="false">MOD(ROW()-2,7)+1</f>
        <v>5</v>
      </c>
    </row>
    <row r="658" customFormat="false" ht="15" hidden="false" customHeight="false" outlineLevel="0" collapsed="false">
      <c r="A658" s="85" t="str">
        <f aca="false">IF(INDEX(Candidates!$A$1:$A$500,K658)="","",INDEX(Candidates!$A$1:$A$500,K658))</f>
        <v/>
      </c>
      <c r="B658" s="85" t="str">
        <f aca="false">IF(A658="","",INDEX(Candidates!$C$1:$C$500,K658))</f>
        <v/>
      </c>
      <c r="C658" s="85" t="str">
        <f aca="false">IF(A658="","",INDEX(Candidates!$D$1:$D$500,K658))</f>
        <v/>
      </c>
      <c r="D658" s="85" t="str">
        <f aca="false">IF(A658="","",L658)</f>
        <v/>
      </c>
      <c r="E658" s="85" t="str">
        <f aca="false">IF(A658="","",INDEX($O$2:$O$8,L658))</f>
        <v/>
      </c>
      <c r="F658" s="85" t="str">
        <f aca="false">IF(A658="","",IF(ISNUMBER(INDEX(Candidates!$A$1:$Z$500,K658,INDEX($P$2:$P$8,L658))),INDEX(Candidates!$A$1:$Z$500,K658,INDEX($P$2:$P$8,L658)),""))</f>
        <v/>
      </c>
      <c r="G658" s="85" t="str">
        <f aca="false">IF(A658="","",INDEX($Q$2:$Q$8,L658))</f>
        <v/>
      </c>
      <c r="H658" s="85" t="str">
        <f aca="false">IF(A658="","",IF(F658="","Not yet scored",IF(F658&gt;=G658,"Pass","Fail")))</f>
        <v/>
      </c>
      <c r="I658" s="85" t="str">
        <f aca="false">IF(A658="","",INDEX(Candidates!$B$1:$B$500,K658))</f>
        <v/>
      </c>
      <c r="K658" s="86" t="n">
        <f aca="false">INT((ROW()-2)/7)+2</f>
        <v>95</v>
      </c>
      <c r="L658" s="86" t="n">
        <f aca="false">MOD(ROW()-2,7)+1</f>
        <v>6</v>
      </c>
    </row>
    <row r="659" customFormat="false" ht="15" hidden="false" customHeight="false" outlineLevel="0" collapsed="false">
      <c r="A659" s="85" t="str">
        <f aca="false">IF(INDEX(Candidates!$A$1:$A$500,K659)="","",INDEX(Candidates!$A$1:$A$500,K659))</f>
        <v/>
      </c>
      <c r="B659" s="85" t="str">
        <f aca="false">IF(A659="","",INDEX(Candidates!$C$1:$C$500,K659))</f>
        <v/>
      </c>
      <c r="C659" s="85" t="str">
        <f aca="false">IF(A659="","",INDEX(Candidates!$D$1:$D$500,K659))</f>
        <v/>
      </c>
      <c r="D659" s="85" t="str">
        <f aca="false">IF(A659="","",L659)</f>
        <v/>
      </c>
      <c r="E659" s="85" t="str">
        <f aca="false">IF(A659="","",INDEX($O$2:$O$8,L659))</f>
        <v/>
      </c>
      <c r="F659" s="85" t="str">
        <f aca="false">IF(A659="","",IF(ISNUMBER(INDEX(Candidates!$A$1:$Z$500,K659,INDEX($P$2:$P$8,L659))),INDEX(Candidates!$A$1:$Z$500,K659,INDEX($P$2:$P$8,L659)),""))</f>
        <v/>
      </c>
      <c r="G659" s="85" t="str">
        <f aca="false">IF(A659="","",INDEX($Q$2:$Q$8,L659))</f>
        <v/>
      </c>
      <c r="H659" s="85" t="str">
        <f aca="false">IF(A659="","",IF(F659="","Not yet scored",IF(F659&gt;=G659,"Pass","Fail")))</f>
        <v/>
      </c>
      <c r="I659" s="85" t="str">
        <f aca="false">IF(A659="","",INDEX(Candidates!$B$1:$B$500,K659))</f>
        <v/>
      </c>
      <c r="K659" s="86" t="n">
        <f aca="false">INT((ROW()-2)/7)+2</f>
        <v>95</v>
      </c>
      <c r="L659" s="86" t="n">
        <f aca="false">MOD(ROW()-2,7)+1</f>
        <v>7</v>
      </c>
    </row>
    <row r="660" customFormat="false" ht="15" hidden="false" customHeight="false" outlineLevel="0" collapsed="false">
      <c r="A660" s="85" t="str">
        <f aca="false">IF(INDEX(Candidates!$A$1:$A$500,K660)="","",INDEX(Candidates!$A$1:$A$500,K660))</f>
        <v/>
      </c>
      <c r="B660" s="85" t="str">
        <f aca="false">IF(A660="","",INDEX(Candidates!$C$1:$C$500,K660))</f>
        <v/>
      </c>
      <c r="C660" s="85" t="str">
        <f aca="false">IF(A660="","",INDEX(Candidates!$D$1:$D$500,K660))</f>
        <v/>
      </c>
      <c r="D660" s="85" t="str">
        <f aca="false">IF(A660="","",L660)</f>
        <v/>
      </c>
      <c r="E660" s="85" t="str">
        <f aca="false">IF(A660="","",INDEX($O$2:$O$8,L660))</f>
        <v/>
      </c>
      <c r="F660" s="85" t="str">
        <f aca="false">IF(A660="","",IF(ISNUMBER(INDEX(Candidates!$A$1:$Z$500,K660,INDEX($P$2:$P$8,L660))),INDEX(Candidates!$A$1:$Z$500,K660,INDEX($P$2:$P$8,L660)),""))</f>
        <v/>
      </c>
      <c r="G660" s="85" t="str">
        <f aca="false">IF(A660="","",INDEX($Q$2:$Q$8,L660))</f>
        <v/>
      </c>
      <c r="H660" s="85" t="str">
        <f aca="false">IF(A660="","",IF(F660="","Not yet scored",IF(F660&gt;=G660,"Pass","Fail")))</f>
        <v/>
      </c>
      <c r="I660" s="85" t="str">
        <f aca="false">IF(A660="","",INDEX(Candidates!$B$1:$B$500,K660))</f>
        <v/>
      </c>
      <c r="K660" s="86" t="n">
        <f aca="false">INT((ROW()-2)/7)+2</f>
        <v>96</v>
      </c>
      <c r="L660" s="86" t="n">
        <f aca="false">MOD(ROW()-2,7)+1</f>
        <v>1</v>
      </c>
    </row>
    <row r="661" customFormat="false" ht="15" hidden="false" customHeight="false" outlineLevel="0" collapsed="false">
      <c r="A661" s="85" t="str">
        <f aca="false">IF(INDEX(Candidates!$A$1:$A$500,K661)="","",INDEX(Candidates!$A$1:$A$500,K661))</f>
        <v/>
      </c>
      <c r="B661" s="85" t="str">
        <f aca="false">IF(A661="","",INDEX(Candidates!$C$1:$C$500,K661))</f>
        <v/>
      </c>
      <c r="C661" s="85" t="str">
        <f aca="false">IF(A661="","",INDEX(Candidates!$D$1:$D$500,K661))</f>
        <v/>
      </c>
      <c r="D661" s="85" t="str">
        <f aca="false">IF(A661="","",L661)</f>
        <v/>
      </c>
      <c r="E661" s="85" t="str">
        <f aca="false">IF(A661="","",INDEX($O$2:$O$8,L661))</f>
        <v/>
      </c>
      <c r="F661" s="85" t="str">
        <f aca="false">IF(A661="","",IF(ISNUMBER(INDEX(Candidates!$A$1:$Z$500,K661,INDEX($P$2:$P$8,L661))),INDEX(Candidates!$A$1:$Z$500,K661,INDEX($P$2:$P$8,L661)),""))</f>
        <v/>
      </c>
      <c r="G661" s="85" t="str">
        <f aca="false">IF(A661="","",INDEX($Q$2:$Q$8,L661))</f>
        <v/>
      </c>
      <c r="H661" s="85" t="str">
        <f aca="false">IF(A661="","",IF(F661="","Not yet scored",IF(F661&gt;=G661,"Pass","Fail")))</f>
        <v/>
      </c>
      <c r="I661" s="85" t="str">
        <f aca="false">IF(A661="","",INDEX(Candidates!$B$1:$B$500,K661))</f>
        <v/>
      </c>
      <c r="K661" s="86" t="n">
        <f aca="false">INT((ROW()-2)/7)+2</f>
        <v>96</v>
      </c>
      <c r="L661" s="86" t="n">
        <f aca="false">MOD(ROW()-2,7)+1</f>
        <v>2</v>
      </c>
    </row>
    <row r="662" customFormat="false" ht="15" hidden="false" customHeight="false" outlineLevel="0" collapsed="false">
      <c r="A662" s="85" t="str">
        <f aca="false">IF(INDEX(Candidates!$A$1:$A$500,K662)="","",INDEX(Candidates!$A$1:$A$500,K662))</f>
        <v/>
      </c>
      <c r="B662" s="85" t="str">
        <f aca="false">IF(A662="","",INDEX(Candidates!$C$1:$C$500,K662))</f>
        <v/>
      </c>
      <c r="C662" s="85" t="str">
        <f aca="false">IF(A662="","",INDEX(Candidates!$D$1:$D$500,K662))</f>
        <v/>
      </c>
      <c r="D662" s="85" t="str">
        <f aca="false">IF(A662="","",L662)</f>
        <v/>
      </c>
      <c r="E662" s="85" t="str">
        <f aca="false">IF(A662="","",INDEX($O$2:$O$8,L662))</f>
        <v/>
      </c>
      <c r="F662" s="85" t="str">
        <f aca="false">IF(A662="","",IF(ISNUMBER(INDEX(Candidates!$A$1:$Z$500,K662,INDEX($P$2:$P$8,L662))),INDEX(Candidates!$A$1:$Z$500,K662,INDEX($P$2:$P$8,L662)),""))</f>
        <v/>
      </c>
      <c r="G662" s="85" t="str">
        <f aca="false">IF(A662="","",INDEX($Q$2:$Q$8,L662))</f>
        <v/>
      </c>
      <c r="H662" s="85" t="str">
        <f aca="false">IF(A662="","",IF(F662="","Not yet scored",IF(F662&gt;=G662,"Pass","Fail")))</f>
        <v/>
      </c>
      <c r="I662" s="85" t="str">
        <f aca="false">IF(A662="","",INDEX(Candidates!$B$1:$B$500,K662))</f>
        <v/>
      </c>
      <c r="K662" s="86" t="n">
        <f aca="false">INT((ROW()-2)/7)+2</f>
        <v>96</v>
      </c>
      <c r="L662" s="86" t="n">
        <f aca="false">MOD(ROW()-2,7)+1</f>
        <v>3</v>
      </c>
    </row>
    <row r="663" customFormat="false" ht="15" hidden="false" customHeight="false" outlineLevel="0" collapsed="false">
      <c r="A663" s="85" t="str">
        <f aca="false">IF(INDEX(Candidates!$A$1:$A$500,K663)="","",INDEX(Candidates!$A$1:$A$500,K663))</f>
        <v/>
      </c>
      <c r="B663" s="85" t="str">
        <f aca="false">IF(A663="","",INDEX(Candidates!$C$1:$C$500,K663))</f>
        <v/>
      </c>
      <c r="C663" s="85" t="str">
        <f aca="false">IF(A663="","",INDEX(Candidates!$D$1:$D$500,K663))</f>
        <v/>
      </c>
      <c r="D663" s="85" t="str">
        <f aca="false">IF(A663="","",L663)</f>
        <v/>
      </c>
      <c r="E663" s="85" t="str">
        <f aca="false">IF(A663="","",INDEX($O$2:$O$8,L663))</f>
        <v/>
      </c>
      <c r="F663" s="85" t="str">
        <f aca="false">IF(A663="","",IF(ISNUMBER(INDEX(Candidates!$A$1:$Z$500,K663,INDEX($P$2:$P$8,L663))),INDEX(Candidates!$A$1:$Z$500,K663,INDEX($P$2:$P$8,L663)),""))</f>
        <v/>
      </c>
      <c r="G663" s="85" t="str">
        <f aca="false">IF(A663="","",INDEX($Q$2:$Q$8,L663))</f>
        <v/>
      </c>
      <c r="H663" s="85" t="str">
        <f aca="false">IF(A663="","",IF(F663="","Not yet scored",IF(F663&gt;=G663,"Pass","Fail")))</f>
        <v/>
      </c>
      <c r="I663" s="85" t="str">
        <f aca="false">IF(A663="","",INDEX(Candidates!$B$1:$B$500,K663))</f>
        <v/>
      </c>
      <c r="K663" s="86" t="n">
        <f aca="false">INT((ROW()-2)/7)+2</f>
        <v>96</v>
      </c>
      <c r="L663" s="86" t="n">
        <f aca="false">MOD(ROW()-2,7)+1</f>
        <v>4</v>
      </c>
    </row>
    <row r="664" customFormat="false" ht="15" hidden="false" customHeight="false" outlineLevel="0" collapsed="false">
      <c r="A664" s="85" t="str">
        <f aca="false">IF(INDEX(Candidates!$A$1:$A$500,K664)="","",INDEX(Candidates!$A$1:$A$500,K664))</f>
        <v/>
      </c>
      <c r="B664" s="85" t="str">
        <f aca="false">IF(A664="","",INDEX(Candidates!$C$1:$C$500,K664))</f>
        <v/>
      </c>
      <c r="C664" s="85" t="str">
        <f aca="false">IF(A664="","",INDEX(Candidates!$D$1:$D$500,K664))</f>
        <v/>
      </c>
      <c r="D664" s="85" t="str">
        <f aca="false">IF(A664="","",L664)</f>
        <v/>
      </c>
      <c r="E664" s="85" t="str">
        <f aca="false">IF(A664="","",INDEX($O$2:$O$8,L664))</f>
        <v/>
      </c>
      <c r="F664" s="85" t="str">
        <f aca="false">IF(A664="","",IF(ISNUMBER(INDEX(Candidates!$A$1:$Z$500,K664,INDEX($P$2:$P$8,L664))),INDEX(Candidates!$A$1:$Z$500,K664,INDEX($P$2:$P$8,L664)),""))</f>
        <v/>
      </c>
      <c r="G664" s="85" t="str">
        <f aca="false">IF(A664="","",INDEX($Q$2:$Q$8,L664))</f>
        <v/>
      </c>
      <c r="H664" s="85" t="str">
        <f aca="false">IF(A664="","",IF(F664="","Not yet scored",IF(F664&gt;=G664,"Pass","Fail")))</f>
        <v/>
      </c>
      <c r="I664" s="85" t="str">
        <f aca="false">IF(A664="","",INDEX(Candidates!$B$1:$B$500,K664))</f>
        <v/>
      </c>
      <c r="K664" s="86" t="n">
        <f aca="false">INT((ROW()-2)/7)+2</f>
        <v>96</v>
      </c>
      <c r="L664" s="86" t="n">
        <f aca="false">MOD(ROW()-2,7)+1</f>
        <v>5</v>
      </c>
    </row>
    <row r="665" customFormat="false" ht="15" hidden="false" customHeight="false" outlineLevel="0" collapsed="false">
      <c r="A665" s="85" t="str">
        <f aca="false">IF(INDEX(Candidates!$A$1:$A$500,K665)="","",INDEX(Candidates!$A$1:$A$500,K665))</f>
        <v/>
      </c>
      <c r="B665" s="85" t="str">
        <f aca="false">IF(A665="","",INDEX(Candidates!$C$1:$C$500,K665))</f>
        <v/>
      </c>
      <c r="C665" s="85" t="str">
        <f aca="false">IF(A665="","",INDEX(Candidates!$D$1:$D$500,K665))</f>
        <v/>
      </c>
      <c r="D665" s="85" t="str">
        <f aca="false">IF(A665="","",L665)</f>
        <v/>
      </c>
      <c r="E665" s="85" t="str">
        <f aca="false">IF(A665="","",INDEX($O$2:$O$8,L665))</f>
        <v/>
      </c>
      <c r="F665" s="85" t="str">
        <f aca="false">IF(A665="","",IF(ISNUMBER(INDEX(Candidates!$A$1:$Z$500,K665,INDEX($P$2:$P$8,L665))),INDEX(Candidates!$A$1:$Z$500,K665,INDEX($P$2:$P$8,L665)),""))</f>
        <v/>
      </c>
      <c r="G665" s="85" t="str">
        <f aca="false">IF(A665="","",INDEX($Q$2:$Q$8,L665))</f>
        <v/>
      </c>
      <c r="H665" s="85" t="str">
        <f aca="false">IF(A665="","",IF(F665="","Not yet scored",IF(F665&gt;=G665,"Pass","Fail")))</f>
        <v/>
      </c>
      <c r="I665" s="85" t="str">
        <f aca="false">IF(A665="","",INDEX(Candidates!$B$1:$B$500,K665))</f>
        <v/>
      </c>
      <c r="K665" s="86" t="n">
        <f aca="false">INT((ROW()-2)/7)+2</f>
        <v>96</v>
      </c>
      <c r="L665" s="86" t="n">
        <f aca="false">MOD(ROW()-2,7)+1</f>
        <v>6</v>
      </c>
    </row>
    <row r="666" customFormat="false" ht="15" hidden="false" customHeight="false" outlineLevel="0" collapsed="false">
      <c r="A666" s="85" t="str">
        <f aca="false">IF(INDEX(Candidates!$A$1:$A$500,K666)="","",INDEX(Candidates!$A$1:$A$500,K666))</f>
        <v/>
      </c>
      <c r="B666" s="85" t="str">
        <f aca="false">IF(A666="","",INDEX(Candidates!$C$1:$C$500,K666))</f>
        <v/>
      </c>
      <c r="C666" s="85" t="str">
        <f aca="false">IF(A666="","",INDEX(Candidates!$D$1:$D$500,K666))</f>
        <v/>
      </c>
      <c r="D666" s="85" t="str">
        <f aca="false">IF(A666="","",L666)</f>
        <v/>
      </c>
      <c r="E666" s="85" t="str">
        <f aca="false">IF(A666="","",INDEX($O$2:$O$8,L666))</f>
        <v/>
      </c>
      <c r="F666" s="85" t="str">
        <f aca="false">IF(A666="","",IF(ISNUMBER(INDEX(Candidates!$A$1:$Z$500,K666,INDEX($P$2:$P$8,L666))),INDEX(Candidates!$A$1:$Z$500,K666,INDEX($P$2:$P$8,L666)),""))</f>
        <v/>
      </c>
      <c r="G666" s="85" t="str">
        <f aca="false">IF(A666="","",INDEX($Q$2:$Q$8,L666))</f>
        <v/>
      </c>
      <c r="H666" s="85" t="str">
        <f aca="false">IF(A666="","",IF(F666="","Not yet scored",IF(F666&gt;=G666,"Pass","Fail")))</f>
        <v/>
      </c>
      <c r="I666" s="85" t="str">
        <f aca="false">IF(A666="","",INDEX(Candidates!$B$1:$B$500,K666))</f>
        <v/>
      </c>
      <c r="K666" s="86" t="n">
        <f aca="false">INT((ROW()-2)/7)+2</f>
        <v>96</v>
      </c>
      <c r="L666" s="86" t="n">
        <f aca="false">MOD(ROW()-2,7)+1</f>
        <v>7</v>
      </c>
    </row>
    <row r="667" customFormat="false" ht="15" hidden="false" customHeight="false" outlineLevel="0" collapsed="false">
      <c r="A667" s="85" t="str">
        <f aca="false">IF(INDEX(Candidates!$A$1:$A$500,K667)="","",INDEX(Candidates!$A$1:$A$500,K667))</f>
        <v/>
      </c>
      <c r="B667" s="85" t="str">
        <f aca="false">IF(A667="","",INDEX(Candidates!$C$1:$C$500,K667))</f>
        <v/>
      </c>
      <c r="C667" s="85" t="str">
        <f aca="false">IF(A667="","",INDEX(Candidates!$D$1:$D$500,K667))</f>
        <v/>
      </c>
      <c r="D667" s="85" t="str">
        <f aca="false">IF(A667="","",L667)</f>
        <v/>
      </c>
      <c r="E667" s="85" t="str">
        <f aca="false">IF(A667="","",INDEX($O$2:$O$8,L667))</f>
        <v/>
      </c>
      <c r="F667" s="85" t="str">
        <f aca="false">IF(A667="","",IF(ISNUMBER(INDEX(Candidates!$A$1:$Z$500,K667,INDEX($P$2:$P$8,L667))),INDEX(Candidates!$A$1:$Z$500,K667,INDEX($P$2:$P$8,L667)),""))</f>
        <v/>
      </c>
      <c r="G667" s="85" t="str">
        <f aca="false">IF(A667="","",INDEX($Q$2:$Q$8,L667))</f>
        <v/>
      </c>
      <c r="H667" s="85" t="str">
        <f aca="false">IF(A667="","",IF(F667="","Not yet scored",IF(F667&gt;=G667,"Pass","Fail")))</f>
        <v/>
      </c>
      <c r="I667" s="85" t="str">
        <f aca="false">IF(A667="","",INDEX(Candidates!$B$1:$B$500,K667))</f>
        <v/>
      </c>
      <c r="K667" s="86" t="n">
        <f aca="false">INT((ROW()-2)/7)+2</f>
        <v>97</v>
      </c>
      <c r="L667" s="86" t="n">
        <f aca="false">MOD(ROW()-2,7)+1</f>
        <v>1</v>
      </c>
    </row>
    <row r="668" customFormat="false" ht="15" hidden="false" customHeight="false" outlineLevel="0" collapsed="false">
      <c r="A668" s="85" t="str">
        <f aca="false">IF(INDEX(Candidates!$A$1:$A$500,K668)="","",INDEX(Candidates!$A$1:$A$500,K668))</f>
        <v/>
      </c>
      <c r="B668" s="85" t="str">
        <f aca="false">IF(A668="","",INDEX(Candidates!$C$1:$C$500,K668))</f>
        <v/>
      </c>
      <c r="C668" s="85" t="str">
        <f aca="false">IF(A668="","",INDEX(Candidates!$D$1:$D$500,K668))</f>
        <v/>
      </c>
      <c r="D668" s="85" t="str">
        <f aca="false">IF(A668="","",L668)</f>
        <v/>
      </c>
      <c r="E668" s="85" t="str">
        <f aca="false">IF(A668="","",INDEX($O$2:$O$8,L668))</f>
        <v/>
      </c>
      <c r="F668" s="85" t="str">
        <f aca="false">IF(A668="","",IF(ISNUMBER(INDEX(Candidates!$A$1:$Z$500,K668,INDEX($P$2:$P$8,L668))),INDEX(Candidates!$A$1:$Z$500,K668,INDEX($P$2:$P$8,L668)),""))</f>
        <v/>
      </c>
      <c r="G668" s="85" t="str">
        <f aca="false">IF(A668="","",INDEX($Q$2:$Q$8,L668))</f>
        <v/>
      </c>
      <c r="H668" s="85" t="str">
        <f aca="false">IF(A668="","",IF(F668="","Not yet scored",IF(F668&gt;=G668,"Pass","Fail")))</f>
        <v/>
      </c>
      <c r="I668" s="85" t="str">
        <f aca="false">IF(A668="","",INDEX(Candidates!$B$1:$B$500,K668))</f>
        <v/>
      </c>
      <c r="K668" s="86" t="n">
        <f aca="false">INT((ROW()-2)/7)+2</f>
        <v>97</v>
      </c>
      <c r="L668" s="86" t="n">
        <f aca="false">MOD(ROW()-2,7)+1</f>
        <v>2</v>
      </c>
    </row>
    <row r="669" customFormat="false" ht="15" hidden="false" customHeight="false" outlineLevel="0" collapsed="false">
      <c r="A669" s="85" t="str">
        <f aca="false">IF(INDEX(Candidates!$A$1:$A$500,K669)="","",INDEX(Candidates!$A$1:$A$500,K669))</f>
        <v/>
      </c>
      <c r="B669" s="85" t="str">
        <f aca="false">IF(A669="","",INDEX(Candidates!$C$1:$C$500,K669))</f>
        <v/>
      </c>
      <c r="C669" s="85" t="str">
        <f aca="false">IF(A669="","",INDEX(Candidates!$D$1:$D$500,K669))</f>
        <v/>
      </c>
      <c r="D669" s="85" t="str">
        <f aca="false">IF(A669="","",L669)</f>
        <v/>
      </c>
      <c r="E669" s="85" t="str">
        <f aca="false">IF(A669="","",INDEX($O$2:$O$8,L669))</f>
        <v/>
      </c>
      <c r="F669" s="85" t="str">
        <f aca="false">IF(A669="","",IF(ISNUMBER(INDEX(Candidates!$A$1:$Z$500,K669,INDEX($P$2:$P$8,L669))),INDEX(Candidates!$A$1:$Z$500,K669,INDEX($P$2:$P$8,L669)),""))</f>
        <v/>
      </c>
      <c r="G669" s="85" t="str">
        <f aca="false">IF(A669="","",INDEX($Q$2:$Q$8,L669))</f>
        <v/>
      </c>
      <c r="H669" s="85" t="str">
        <f aca="false">IF(A669="","",IF(F669="","Not yet scored",IF(F669&gt;=G669,"Pass","Fail")))</f>
        <v/>
      </c>
      <c r="I669" s="85" t="str">
        <f aca="false">IF(A669="","",INDEX(Candidates!$B$1:$B$500,K669))</f>
        <v/>
      </c>
      <c r="K669" s="86" t="n">
        <f aca="false">INT((ROW()-2)/7)+2</f>
        <v>97</v>
      </c>
      <c r="L669" s="86" t="n">
        <f aca="false">MOD(ROW()-2,7)+1</f>
        <v>3</v>
      </c>
    </row>
    <row r="670" customFormat="false" ht="15" hidden="false" customHeight="false" outlineLevel="0" collapsed="false">
      <c r="A670" s="85" t="str">
        <f aca="false">IF(INDEX(Candidates!$A$1:$A$500,K670)="","",INDEX(Candidates!$A$1:$A$500,K670))</f>
        <v/>
      </c>
      <c r="B670" s="85" t="str">
        <f aca="false">IF(A670="","",INDEX(Candidates!$C$1:$C$500,K670))</f>
        <v/>
      </c>
      <c r="C670" s="85" t="str">
        <f aca="false">IF(A670="","",INDEX(Candidates!$D$1:$D$500,K670))</f>
        <v/>
      </c>
      <c r="D670" s="85" t="str">
        <f aca="false">IF(A670="","",L670)</f>
        <v/>
      </c>
      <c r="E670" s="85" t="str">
        <f aca="false">IF(A670="","",INDEX($O$2:$O$8,L670))</f>
        <v/>
      </c>
      <c r="F670" s="85" t="str">
        <f aca="false">IF(A670="","",IF(ISNUMBER(INDEX(Candidates!$A$1:$Z$500,K670,INDEX($P$2:$P$8,L670))),INDEX(Candidates!$A$1:$Z$500,K670,INDEX($P$2:$P$8,L670)),""))</f>
        <v/>
      </c>
      <c r="G670" s="85" t="str">
        <f aca="false">IF(A670="","",INDEX($Q$2:$Q$8,L670))</f>
        <v/>
      </c>
      <c r="H670" s="85" t="str">
        <f aca="false">IF(A670="","",IF(F670="","Not yet scored",IF(F670&gt;=G670,"Pass","Fail")))</f>
        <v/>
      </c>
      <c r="I670" s="85" t="str">
        <f aca="false">IF(A670="","",INDEX(Candidates!$B$1:$B$500,K670))</f>
        <v/>
      </c>
      <c r="K670" s="86" t="n">
        <f aca="false">INT((ROW()-2)/7)+2</f>
        <v>97</v>
      </c>
      <c r="L670" s="86" t="n">
        <f aca="false">MOD(ROW()-2,7)+1</f>
        <v>4</v>
      </c>
    </row>
    <row r="671" customFormat="false" ht="15" hidden="false" customHeight="false" outlineLevel="0" collapsed="false">
      <c r="A671" s="85" t="str">
        <f aca="false">IF(INDEX(Candidates!$A$1:$A$500,K671)="","",INDEX(Candidates!$A$1:$A$500,K671))</f>
        <v/>
      </c>
      <c r="B671" s="85" t="str">
        <f aca="false">IF(A671="","",INDEX(Candidates!$C$1:$C$500,K671))</f>
        <v/>
      </c>
      <c r="C671" s="85" t="str">
        <f aca="false">IF(A671="","",INDEX(Candidates!$D$1:$D$500,K671))</f>
        <v/>
      </c>
      <c r="D671" s="85" t="str">
        <f aca="false">IF(A671="","",L671)</f>
        <v/>
      </c>
      <c r="E671" s="85" t="str">
        <f aca="false">IF(A671="","",INDEX($O$2:$O$8,L671))</f>
        <v/>
      </c>
      <c r="F671" s="85" t="str">
        <f aca="false">IF(A671="","",IF(ISNUMBER(INDEX(Candidates!$A$1:$Z$500,K671,INDEX($P$2:$P$8,L671))),INDEX(Candidates!$A$1:$Z$500,K671,INDEX($P$2:$P$8,L671)),""))</f>
        <v/>
      </c>
      <c r="G671" s="85" t="str">
        <f aca="false">IF(A671="","",INDEX($Q$2:$Q$8,L671))</f>
        <v/>
      </c>
      <c r="H671" s="85" t="str">
        <f aca="false">IF(A671="","",IF(F671="","Not yet scored",IF(F671&gt;=G671,"Pass","Fail")))</f>
        <v/>
      </c>
      <c r="I671" s="85" t="str">
        <f aca="false">IF(A671="","",INDEX(Candidates!$B$1:$B$500,K671))</f>
        <v/>
      </c>
      <c r="K671" s="86" t="n">
        <f aca="false">INT((ROW()-2)/7)+2</f>
        <v>97</v>
      </c>
      <c r="L671" s="86" t="n">
        <f aca="false">MOD(ROW()-2,7)+1</f>
        <v>5</v>
      </c>
    </row>
    <row r="672" customFormat="false" ht="15" hidden="false" customHeight="false" outlineLevel="0" collapsed="false">
      <c r="A672" s="85" t="str">
        <f aca="false">IF(INDEX(Candidates!$A$1:$A$500,K672)="","",INDEX(Candidates!$A$1:$A$500,K672))</f>
        <v/>
      </c>
      <c r="B672" s="85" t="str">
        <f aca="false">IF(A672="","",INDEX(Candidates!$C$1:$C$500,K672))</f>
        <v/>
      </c>
      <c r="C672" s="85" t="str">
        <f aca="false">IF(A672="","",INDEX(Candidates!$D$1:$D$500,K672))</f>
        <v/>
      </c>
      <c r="D672" s="85" t="str">
        <f aca="false">IF(A672="","",L672)</f>
        <v/>
      </c>
      <c r="E672" s="85" t="str">
        <f aca="false">IF(A672="","",INDEX($O$2:$O$8,L672))</f>
        <v/>
      </c>
      <c r="F672" s="85" t="str">
        <f aca="false">IF(A672="","",IF(ISNUMBER(INDEX(Candidates!$A$1:$Z$500,K672,INDEX($P$2:$P$8,L672))),INDEX(Candidates!$A$1:$Z$500,K672,INDEX($P$2:$P$8,L672)),""))</f>
        <v/>
      </c>
      <c r="G672" s="85" t="str">
        <f aca="false">IF(A672="","",INDEX($Q$2:$Q$8,L672))</f>
        <v/>
      </c>
      <c r="H672" s="85" t="str">
        <f aca="false">IF(A672="","",IF(F672="","Not yet scored",IF(F672&gt;=G672,"Pass","Fail")))</f>
        <v/>
      </c>
      <c r="I672" s="85" t="str">
        <f aca="false">IF(A672="","",INDEX(Candidates!$B$1:$B$500,K672))</f>
        <v/>
      </c>
      <c r="K672" s="86" t="n">
        <f aca="false">INT((ROW()-2)/7)+2</f>
        <v>97</v>
      </c>
      <c r="L672" s="86" t="n">
        <f aca="false">MOD(ROW()-2,7)+1</f>
        <v>6</v>
      </c>
    </row>
    <row r="673" customFormat="false" ht="15" hidden="false" customHeight="false" outlineLevel="0" collapsed="false">
      <c r="A673" s="85" t="str">
        <f aca="false">IF(INDEX(Candidates!$A$1:$A$500,K673)="","",INDEX(Candidates!$A$1:$A$500,K673))</f>
        <v/>
      </c>
      <c r="B673" s="85" t="str">
        <f aca="false">IF(A673="","",INDEX(Candidates!$C$1:$C$500,K673))</f>
        <v/>
      </c>
      <c r="C673" s="85" t="str">
        <f aca="false">IF(A673="","",INDEX(Candidates!$D$1:$D$500,K673))</f>
        <v/>
      </c>
      <c r="D673" s="85" t="str">
        <f aca="false">IF(A673="","",L673)</f>
        <v/>
      </c>
      <c r="E673" s="85" t="str">
        <f aca="false">IF(A673="","",INDEX($O$2:$O$8,L673))</f>
        <v/>
      </c>
      <c r="F673" s="85" t="str">
        <f aca="false">IF(A673="","",IF(ISNUMBER(INDEX(Candidates!$A$1:$Z$500,K673,INDEX($P$2:$P$8,L673))),INDEX(Candidates!$A$1:$Z$500,K673,INDEX($P$2:$P$8,L673)),""))</f>
        <v/>
      </c>
      <c r="G673" s="85" t="str">
        <f aca="false">IF(A673="","",INDEX($Q$2:$Q$8,L673))</f>
        <v/>
      </c>
      <c r="H673" s="85" t="str">
        <f aca="false">IF(A673="","",IF(F673="","Not yet scored",IF(F673&gt;=G673,"Pass","Fail")))</f>
        <v/>
      </c>
      <c r="I673" s="85" t="str">
        <f aca="false">IF(A673="","",INDEX(Candidates!$B$1:$B$500,K673))</f>
        <v/>
      </c>
      <c r="K673" s="86" t="n">
        <f aca="false">INT((ROW()-2)/7)+2</f>
        <v>97</v>
      </c>
      <c r="L673" s="86" t="n">
        <f aca="false">MOD(ROW()-2,7)+1</f>
        <v>7</v>
      </c>
    </row>
    <row r="674" customFormat="false" ht="15" hidden="false" customHeight="false" outlineLevel="0" collapsed="false">
      <c r="A674" s="85" t="str">
        <f aca="false">IF(INDEX(Candidates!$A$1:$A$500,K674)="","",INDEX(Candidates!$A$1:$A$500,K674))</f>
        <v/>
      </c>
      <c r="B674" s="85" t="str">
        <f aca="false">IF(A674="","",INDEX(Candidates!$C$1:$C$500,K674))</f>
        <v/>
      </c>
      <c r="C674" s="85" t="str">
        <f aca="false">IF(A674="","",INDEX(Candidates!$D$1:$D$500,K674))</f>
        <v/>
      </c>
      <c r="D674" s="85" t="str">
        <f aca="false">IF(A674="","",L674)</f>
        <v/>
      </c>
      <c r="E674" s="85" t="str">
        <f aca="false">IF(A674="","",INDEX($O$2:$O$8,L674))</f>
        <v/>
      </c>
      <c r="F674" s="85" t="str">
        <f aca="false">IF(A674="","",IF(ISNUMBER(INDEX(Candidates!$A$1:$Z$500,K674,INDEX($P$2:$P$8,L674))),INDEX(Candidates!$A$1:$Z$500,K674,INDEX($P$2:$P$8,L674)),""))</f>
        <v/>
      </c>
      <c r="G674" s="85" t="str">
        <f aca="false">IF(A674="","",INDEX($Q$2:$Q$8,L674))</f>
        <v/>
      </c>
      <c r="H674" s="85" t="str">
        <f aca="false">IF(A674="","",IF(F674="","Not yet scored",IF(F674&gt;=G674,"Pass","Fail")))</f>
        <v/>
      </c>
      <c r="I674" s="85" t="str">
        <f aca="false">IF(A674="","",INDEX(Candidates!$B$1:$B$500,K674))</f>
        <v/>
      </c>
      <c r="K674" s="86" t="n">
        <f aca="false">INT((ROW()-2)/7)+2</f>
        <v>98</v>
      </c>
      <c r="L674" s="86" t="n">
        <f aca="false">MOD(ROW()-2,7)+1</f>
        <v>1</v>
      </c>
    </row>
    <row r="675" customFormat="false" ht="15" hidden="false" customHeight="false" outlineLevel="0" collapsed="false">
      <c r="A675" s="85" t="str">
        <f aca="false">IF(INDEX(Candidates!$A$1:$A$500,K675)="","",INDEX(Candidates!$A$1:$A$500,K675))</f>
        <v/>
      </c>
      <c r="B675" s="85" t="str">
        <f aca="false">IF(A675="","",INDEX(Candidates!$C$1:$C$500,K675))</f>
        <v/>
      </c>
      <c r="C675" s="85" t="str">
        <f aca="false">IF(A675="","",INDEX(Candidates!$D$1:$D$500,K675))</f>
        <v/>
      </c>
      <c r="D675" s="85" t="str">
        <f aca="false">IF(A675="","",L675)</f>
        <v/>
      </c>
      <c r="E675" s="85" t="str">
        <f aca="false">IF(A675="","",INDEX($O$2:$O$8,L675))</f>
        <v/>
      </c>
      <c r="F675" s="85" t="str">
        <f aca="false">IF(A675="","",IF(ISNUMBER(INDEX(Candidates!$A$1:$Z$500,K675,INDEX($P$2:$P$8,L675))),INDEX(Candidates!$A$1:$Z$500,K675,INDEX($P$2:$P$8,L675)),""))</f>
        <v/>
      </c>
      <c r="G675" s="85" t="str">
        <f aca="false">IF(A675="","",INDEX($Q$2:$Q$8,L675))</f>
        <v/>
      </c>
      <c r="H675" s="85" t="str">
        <f aca="false">IF(A675="","",IF(F675="","Not yet scored",IF(F675&gt;=G675,"Pass","Fail")))</f>
        <v/>
      </c>
      <c r="I675" s="85" t="str">
        <f aca="false">IF(A675="","",INDEX(Candidates!$B$1:$B$500,K675))</f>
        <v/>
      </c>
      <c r="K675" s="86" t="n">
        <f aca="false">INT((ROW()-2)/7)+2</f>
        <v>98</v>
      </c>
      <c r="L675" s="86" t="n">
        <f aca="false">MOD(ROW()-2,7)+1</f>
        <v>2</v>
      </c>
    </row>
    <row r="676" customFormat="false" ht="15" hidden="false" customHeight="false" outlineLevel="0" collapsed="false">
      <c r="A676" s="85" t="str">
        <f aca="false">IF(INDEX(Candidates!$A$1:$A$500,K676)="","",INDEX(Candidates!$A$1:$A$500,K676))</f>
        <v/>
      </c>
      <c r="B676" s="85" t="str">
        <f aca="false">IF(A676="","",INDEX(Candidates!$C$1:$C$500,K676))</f>
        <v/>
      </c>
      <c r="C676" s="85" t="str">
        <f aca="false">IF(A676="","",INDEX(Candidates!$D$1:$D$500,K676))</f>
        <v/>
      </c>
      <c r="D676" s="85" t="str">
        <f aca="false">IF(A676="","",L676)</f>
        <v/>
      </c>
      <c r="E676" s="85" t="str">
        <f aca="false">IF(A676="","",INDEX($O$2:$O$8,L676))</f>
        <v/>
      </c>
      <c r="F676" s="85" t="str">
        <f aca="false">IF(A676="","",IF(ISNUMBER(INDEX(Candidates!$A$1:$Z$500,K676,INDEX($P$2:$P$8,L676))),INDEX(Candidates!$A$1:$Z$500,K676,INDEX($P$2:$P$8,L676)),""))</f>
        <v/>
      </c>
      <c r="G676" s="85" t="str">
        <f aca="false">IF(A676="","",INDEX($Q$2:$Q$8,L676))</f>
        <v/>
      </c>
      <c r="H676" s="85" t="str">
        <f aca="false">IF(A676="","",IF(F676="","Not yet scored",IF(F676&gt;=G676,"Pass","Fail")))</f>
        <v/>
      </c>
      <c r="I676" s="85" t="str">
        <f aca="false">IF(A676="","",INDEX(Candidates!$B$1:$B$500,K676))</f>
        <v/>
      </c>
      <c r="K676" s="86" t="n">
        <f aca="false">INT((ROW()-2)/7)+2</f>
        <v>98</v>
      </c>
      <c r="L676" s="86" t="n">
        <f aca="false">MOD(ROW()-2,7)+1</f>
        <v>3</v>
      </c>
    </row>
    <row r="677" customFormat="false" ht="15" hidden="false" customHeight="false" outlineLevel="0" collapsed="false">
      <c r="A677" s="85" t="str">
        <f aca="false">IF(INDEX(Candidates!$A$1:$A$500,K677)="","",INDEX(Candidates!$A$1:$A$500,K677))</f>
        <v/>
      </c>
      <c r="B677" s="85" t="str">
        <f aca="false">IF(A677="","",INDEX(Candidates!$C$1:$C$500,K677))</f>
        <v/>
      </c>
      <c r="C677" s="85" t="str">
        <f aca="false">IF(A677="","",INDEX(Candidates!$D$1:$D$500,K677))</f>
        <v/>
      </c>
      <c r="D677" s="85" t="str">
        <f aca="false">IF(A677="","",L677)</f>
        <v/>
      </c>
      <c r="E677" s="85" t="str">
        <f aca="false">IF(A677="","",INDEX($O$2:$O$8,L677))</f>
        <v/>
      </c>
      <c r="F677" s="85" t="str">
        <f aca="false">IF(A677="","",IF(ISNUMBER(INDEX(Candidates!$A$1:$Z$500,K677,INDEX($P$2:$P$8,L677))),INDEX(Candidates!$A$1:$Z$500,K677,INDEX($P$2:$P$8,L677)),""))</f>
        <v/>
      </c>
      <c r="G677" s="85" t="str">
        <f aca="false">IF(A677="","",INDEX($Q$2:$Q$8,L677))</f>
        <v/>
      </c>
      <c r="H677" s="85" t="str">
        <f aca="false">IF(A677="","",IF(F677="","Not yet scored",IF(F677&gt;=G677,"Pass","Fail")))</f>
        <v/>
      </c>
      <c r="I677" s="85" t="str">
        <f aca="false">IF(A677="","",INDEX(Candidates!$B$1:$B$500,K677))</f>
        <v/>
      </c>
      <c r="K677" s="86" t="n">
        <f aca="false">INT((ROW()-2)/7)+2</f>
        <v>98</v>
      </c>
      <c r="L677" s="86" t="n">
        <f aca="false">MOD(ROW()-2,7)+1</f>
        <v>4</v>
      </c>
    </row>
    <row r="678" customFormat="false" ht="15" hidden="false" customHeight="false" outlineLevel="0" collapsed="false">
      <c r="A678" s="85" t="str">
        <f aca="false">IF(INDEX(Candidates!$A$1:$A$500,K678)="","",INDEX(Candidates!$A$1:$A$500,K678))</f>
        <v/>
      </c>
      <c r="B678" s="85" t="str">
        <f aca="false">IF(A678="","",INDEX(Candidates!$C$1:$C$500,K678))</f>
        <v/>
      </c>
      <c r="C678" s="85" t="str">
        <f aca="false">IF(A678="","",INDEX(Candidates!$D$1:$D$500,K678))</f>
        <v/>
      </c>
      <c r="D678" s="85" t="str">
        <f aca="false">IF(A678="","",L678)</f>
        <v/>
      </c>
      <c r="E678" s="85" t="str">
        <f aca="false">IF(A678="","",INDEX($O$2:$O$8,L678))</f>
        <v/>
      </c>
      <c r="F678" s="85" t="str">
        <f aca="false">IF(A678="","",IF(ISNUMBER(INDEX(Candidates!$A$1:$Z$500,K678,INDEX($P$2:$P$8,L678))),INDEX(Candidates!$A$1:$Z$500,K678,INDEX($P$2:$P$8,L678)),""))</f>
        <v/>
      </c>
      <c r="G678" s="85" t="str">
        <f aca="false">IF(A678="","",INDEX($Q$2:$Q$8,L678))</f>
        <v/>
      </c>
      <c r="H678" s="85" t="str">
        <f aca="false">IF(A678="","",IF(F678="","Not yet scored",IF(F678&gt;=G678,"Pass","Fail")))</f>
        <v/>
      </c>
      <c r="I678" s="85" t="str">
        <f aca="false">IF(A678="","",INDEX(Candidates!$B$1:$B$500,K678))</f>
        <v/>
      </c>
      <c r="K678" s="86" t="n">
        <f aca="false">INT((ROW()-2)/7)+2</f>
        <v>98</v>
      </c>
      <c r="L678" s="86" t="n">
        <f aca="false">MOD(ROW()-2,7)+1</f>
        <v>5</v>
      </c>
    </row>
    <row r="679" customFormat="false" ht="15" hidden="false" customHeight="false" outlineLevel="0" collapsed="false">
      <c r="A679" s="85" t="str">
        <f aca="false">IF(INDEX(Candidates!$A$1:$A$500,K679)="","",INDEX(Candidates!$A$1:$A$500,K679))</f>
        <v/>
      </c>
      <c r="B679" s="85" t="str">
        <f aca="false">IF(A679="","",INDEX(Candidates!$C$1:$C$500,K679))</f>
        <v/>
      </c>
      <c r="C679" s="85" t="str">
        <f aca="false">IF(A679="","",INDEX(Candidates!$D$1:$D$500,K679))</f>
        <v/>
      </c>
      <c r="D679" s="85" t="str">
        <f aca="false">IF(A679="","",L679)</f>
        <v/>
      </c>
      <c r="E679" s="85" t="str">
        <f aca="false">IF(A679="","",INDEX($O$2:$O$8,L679))</f>
        <v/>
      </c>
      <c r="F679" s="85" t="str">
        <f aca="false">IF(A679="","",IF(ISNUMBER(INDEX(Candidates!$A$1:$Z$500,K679,INDEX($P$2:$P$8,L679))),INDEX(Candidates!$A$1:$Z$500,K679,INDEX($P$2:$P$8,L679)),""))</f>
        <v/>
      </c>
      <c r="G679" s="85" t="str">
        <f aca="false">IF(A679="","",INDEX($Q$2:$Q$8,L679))</f>
        <v/>
      </c>
      <c r="H679" s="85" t="str">
        <f aca="false">IF(A679="","",IF(F679="","Not yet scored",IF(F679&gt;=G679,"Pass","Fail")))</f>
        <v/>
      </c>
      <c r="I679" s="85" t="str">
        <f aca="false">IF(A679="","",INDEX(Candidates!$B$1:$B$500,K679))</f>
        <v/>
      </c>
      <c r="K679" s="86" t="n">
        <f aca="false">INT((ROW()-2)/7)+2</f>
        <v>98</v>
      </c>
      <c r="L679" s="86" t="n">
        <f aca="false">MOD(ROW()-2,7)+1</f>
        <v>6</v>
      </c>
    </row>
    <row r="680" customFormat="false" ht="15" hidden="false" customHeight="false" outlineLevel="0" collapsed="false">
      <c r="A680" s="85" t="str">
        <f aca="false">IF(INDEX(Candidates!$A$1:$A$500,K680)="","",INDEX(Candidates!$A$1:$A$500,K680))</f>
        <v/>
      </c>
      <c r="B680" s="85" t="str">
        <f aca="false">IF(A680="","",INDEX(Candidates!$C$1:$C$500,K680))</f>
        <v/>
      </c>
      <c r="C680" s="85" t="str">
        <f aca="false">IF(A680="","",INDEX(Candidates!$D$1:$D$500,K680))</f>
        <v/>
      </c>
      <c r="D680" s="85" t="str">
        <f aca="false">IF(A680="","",L680)</f>
        <v/>
      </c>
      <c r="E680" s="85" t="str">
        <f aca="false">IF(A680="","",INDEX($O$2:$O$8,L680))</f>
        <v/>
      </c>
      <c r="F680" s="85" t="str">
        <f aca="false">IF(A680="","",IF(ISNUMBER(INDEX(Candidates!$A$1:$Z$500,K680,INDEX($P$2:$P$8,L680))),INDEX(Candidates!$A$1:$Z$500,K680,INDEX($P$2:$P$8,L680)),""))</f>
        <v/>
      </c>
      <c r="G680" s="85" t="str">
        <f aca="false">IF(A680="","",INDEX($Q$2:$Q$8,L680))</f>
        <v/>
      </c>
      <c r="H680" s="85" t="str">
        <f aca="false">IF(A680="","",IF(F680="","Not yet scored",IF(F680&gt;=G680,"Pass","Fail")))</f>
        <v/>
      </c>
      <c r="I680" s="85" t="str">
        <f aca="false">IF(A680="","",INDEX(Candidates!$B$1:$B$500,K680))</f>
        <v/>
      </c>
      <c r="K680" s="86" t="n">
        <f aca="false">INT((ROW()-2)/7)+2</f>
        <v>98</v>
      </c>
      <c r="L680" s="86" t="n">
        <f aca="false">MOD(ROW()-2,7)+1</f>
        <v>7</v>
      </c>
    </row>
    <row r="681" customFormat="false" ht="15" hidden="false" customHeight="false" outlineLevel="0" collapsed="false">
      <c r="A681" s="85" t="str">
        <f aca="false">IF(INDEX(Candidates!$A$1:$A$500,K681)="","",INDEX(Candidates!$A$1:$A$500,K681))</f>
        <v/>
      </c>
      <c r="B681" s="85" t="str">
        <f aca="false">IF(A681="","",INDEX(Candidates!$C$1:$C$500,K681))</f>
        <v/>
      </c>
      <c r="C681" s="85" t="str">
        <f aca="false">IF(A681="","",INDEX(Candidates!$D$1:$D$500,K681))</f>
        <v/>
      </c>
      <c r="D681" s="85" t="str">
        <f aca="false">IF(A681="","",L681)</f>
        <v/>
      </c>
      <c r="E681" s="85" t="str">
        <f aca="false">IF(A681="","",INDEX($O$2:$O$8,L681))</f>
        <v/>
      </c>
      <c r="F681" s="85" t="str">
        <f aca="false">IF(A681="","",IF(ISNUMBER(INDEX(Candidates!$A$1:$Z$500,K681,INDEX($P$2:$P$8,L681))),INDEX(Candidates!$A$1:$Z$500,K681,INDEX($P$2:$P$8,L681)),""))</f>
        <v/>
      </c>
      <c r="G681" s="85" t="str">
        <f aca="false">IF(A681="","",INDEX($Q$2:$Q$8,L681))</f>
        <v/>
      </c>
      <c r="H681" s="85" t="str">
        <f aca="false">IF(A681="","",IF(F681="","Not yet scored",IF(F681&gt;=G681,"Pass","Fail")))</f>
        <v/>
      </c>
      <c r="I681" s="85" t="str">
        <f aca="false">IF(A681="","",INDEX(Candidates!$B$1:$B$500,K681))</f>
        <v/>
      </c>
      <c r="K681" s="86" t="n">
        <f aca="false">INT((ROW()-2)/7)+2</f>
        <v>99</v>
      </c>
      <c r="L681" s="86" t="n">
        <f aca="false">MOD(ROW()-2,7)+1</f>
        <v>1</v>
      </c>
    </row>
    <row r="682" customFormat="false" ht="15" hidden="false" customHeight="false" outlineLevel="0" collapsed="false">
      <c r="A682" s="85" t="str">
        <f aca="false">IF(INDEX(Candidates!$A$1:$A$500,K682)="","",INDEX(Candidates!$A$1:$A$500,K682))</f>
        <v/>
      </c>
      <c r="B682" s="85" t="str">
        <f aca="false">IF(A682="","",INDEX(Candidates!$C$1:$C$500,K682))</f>
        <v/>
      </c>
      <c r="C682" s="85" t="str">
        <f aca="false">IF(A682="","",INDEX(Candidates!$D$1:$D$500,K682))</f>
        <v/>
      </c>
      <c r="D682" s="85" t="str">
        <f aca="false">IF(A682="","",L682)</f>
        <v/>
      </c>
      <c r="E682" s="85" t="str">
        <f aca="false">IF(A682="","",INDEX($O$2:$O$8,L682))</f>
        <v/>
      </c>
      <c r="F682" s="85" t="str">
        <f aca="false">IF(A682="","",IF(ISNUMBER(INDEX(Candidates!$A$1:$Z$500,K682,INDEX($P$2:$P$8,L682))),INDEX(Candidates!$A$1:$Z$500,K682,INDEX($P$2:$P$8,L682)),""))</f>
        <v/>
      </c>
      <c r="G682" s="85" t="str">
        <f aca="false">IF(A682="","",INDEX($Q$2:$Q$8,L682))</f>
        <v/>
      </c>
      <c r="H682" s="85" t="str">
        <f aca="false">IF(A682="","",IF(F682="","Not yet scored",IF(F682&gt;=G682,"Pass","Fail")))</f>
        <v/>
      </c>
      <c r="I682" s="85" t="str">
        <f aca="false">IF(A682="","",INDEX(Candidates!$B$1:$B$500,K682))</f>
        <v/>
      </c>
      <c r="K682" s="86" t="n">
        <f aca="false">INT((ROW()-2)/7)+2</f>
        <v>99</v>
      </c>
      <c r="L682" s="86" t="n">
        <f aca="false">MOD(ROW()-2,7)+1</f>
        <v>2</v>
      </c>
    </row>
    <row r="683" customFormat="false" ht="15" hidden="false" customHeight="false" outlineLevel="0" collapsed="false">
      <c r="A683" s="85" t="str">
        <f aca="false">IF(INDEX(Candidates!$A$1:$A$500,K683)="","",INDEX(Candidates!$A$1:$A$500,K683))</f>
        <v/>
      </c>
      <c r="B683" s="85" t="str">
        <f aca="false">IF(A683="","",INDEX(Candidates!$C$1:$C$500,K683))</f>
        <v/>
      </c>
      <c r="C683" s="85" t="str">
        <f aca="false">IF(A683="","",INDEX(Candidates!$D$1:$D$500,K683))</f>
        <v/>
      </c>
      <c r="D683" s="85" t="str">
        <f aca="false">IF(A683="","",L683)</f>
        <v/>
      </c>
      <c r="E683" s="85" t="str">
        <f aca="false">IF(A683="","",INDEX($O$2:$O$8,L683))</f>
        <v/>
      </c>
      <c r="F683" s="85" t="str">
        <f aca="false">IF(A683="","",IF(ISNUMBER(INDEX(Candidates!$A$1:$Z$500,K683,INDEX($P$2:$P$8,L683))),INDEX(Candidates!$A$1:$Z$500,K683,INDEX($P$2:$P$8,L683)),""))</f>
        <v/>
      </c>
      <c r="G683" s="85" t="str">
        <f aca="false">IF(A683="","",INDEX($Q$2:$Q$8,L683))</f>
        <v/>
      </c>
      <c r="H683" s="85" t="str">
        <f aca="false">IF(A683="","",IF(F683="","Not yet scored",IF(F683&gt;=G683,"Pass","Fail")))</f>
        <v/>
      </c>
      <c r="I683" s="85" t="str">
        <f aca="false">IF(A683="","",INDEX(Candidates!$B$1:$B$500,K683))</f>
        <v/>
      </c>
      <c r="K683" s="86" t="n">
        <f aca="false">INT((ROW()-2)/7)+2</f>
        <v>99</v>
      </c>
      <c r="L683" s="86" t="n">
        <f aca="false">MOD(ROW()-2,7)+1</f>
        <v>3</v>
      </c>
    </row>
    <row r="684" customFormat="false" ht="15" hidden="false" customHeight="false" outlineLevel="0" collapsed="false">
      <c r="A684" s="85" t="str">
        <f aca="false">IF(INDEX(Candidates!$A$1:$A$500,K684)="","",INDEX(Candidates!$A$1:$A$500,K684))</f>
        <v/>
      </c>
      <c r="B684" s="85" t="str">
        <f aca="false">IF(A684="","",INDEX(Candidates!$C$1:$C$500,K684))</f>
        <v/>
      </c>
      <c r="C684" s="85" t="str">
        <f aca="false">IF(A684="","",INDEX(Candidates!$D$1:$D$500,K684))</f>
        <v/>
      </c>
      <c r="D684" s="85" t="str">
        <f aca="false">IF(A684="","",L684)</f>
        <v/>
      </c>
      <c r="E684" s="85" t="str">
        <f aca="false">IF(A684="","",INDEX($O$2:$O$8,L684))</f>
        <v/>
      </c>
      <c r="F684" s="85" t="str">
        <f aca="false">IF(A684="","",IF(ISNUMBER(INDEX(Candidates!$A$1:$Z$500,K684,INDEX($P$2:$P$8,L684))),INDEX(Candidates!$A$1:$Z$500,K684,INDEX($P$2:$P$8,L684)),""))</f>
        <v/>
      </c>
      <c r="G684" s="85" t="str">
        <f aca="false">IF(A684="","",INDEX($Q$2:$Q$8,L684))</f>
        <v/>
      </c>
      <c r="H684" s="85" t="str">
        <f aca="false">IF(A684="","",IF(F684="","Not yet scored",IF(F684&gt;=G684,"Pass","Fail")))</f>
        <v/>
      </c>
      <c r="I684" s="85" t="str">
        <f aca="false">IF(A684="","",INDEX(Candidates!$B$1:$B$500,K684))</f>
        <v/>
      </c>
      <c r="K684" s="86" t="n">
        <f aca="false">INT((ROW()-2)/7)+2</f>
        <v>99</v>
      </c>
      <c r="L684" s="86" t="n">
        <f aca="false">MOD(ROW()-2,7)+1</f>
        <v>4</v>
      </c>
    </row>
    <row r="685" customFormat="false" ht="15" hidden="false" customHeight="false" outlineLevel="0" collapsed="false">
      <c r="A685" s="85" t="str">
        <f aca="false">IF(INDEX(Candidates!$A$1:$A$500,K685)="","",INDEX(Candidates!$A$1:$A$500,K685))</f>
        <v/>
      </c>
      <c r="B685" s="85" t="str">
        <f aca="false">IF(A685="","",INDEX(Candidates!$C$1:$C$500,K685))</f>
        <v/>
      </c>
      <c r="C685" s="85" t="str">
        <f aca="false">IF(A685="","",INDEX(Candidates!$D$1:$D$500,K685))</f>
        <v/>
      </c>
      <c r="D685" s="85" t="str">
        <f aca="false">IF(A685="","",L685)</f>
        <v/>
      </c>
      <c r="E685" s="85" t="str">
        <f aca="false">IF(A685="","",INDEX($O$2:$O$8,L685))</f>
        <v/>
      </c>
      <c r="F685" s="85" t="str">
        <f aca="false">IF(A685="","",IF(ISNUMBER(INDEX(Candidates!$A$1:$Z$500,K685,INDEX($P$2:$P$8,L685))),INDEX(Candidates!$A$1:$Z$500,K685,INDEX($P$2:$P$8,L685)),""))</f>
        <v/>
      </c>
      <c r="G685" s="85" t="str">
        <f aca="false">IF(A685="","",INDEX($Q$2:$Q$8,L685))</f>
        <v/>
      </c>
      <c r="H685" s="85" t="str">
        <f aca="false">IF(A685="","",IF(F685="","Not yet scored",IF(F685&gt;=G685,"Pass","Fail")))</f>
        <v/>
      </c>
      <c r="I685" s="85" t="str">
        <f aca="false">IF(A685="","",INDEX(Candidates!$B$1:$B$500,K685))</f>
        <v/>
      </c>
      <c r="K685" s="86" t="n">
        <f aca="false">INT((ROW()-2)/7)+2</f>
        <v>99</v>
      </c>
      <c r="L685" s="86" t="n">
        <f aca="false">MOD(ROW()-2,7)+1</f>
        <v>5</v>
      </c>
    </row>
    <row r="686" customFormat="false" ht="15" hidden="false" customHeight="false" outlineLevel="0" collapsed="false">
      <c r="A686" s="85" t="str">
        <f aca="false">IF(INDEX(Candidates!$A$1:$A$500,K686)="","",INDEX(Candidates!$A$1:$A$500,K686))</f>
        <v/>
      </c>
      <c r="B686" s="85" t="str">
        <f aca="false">IF(A686="","",INDEX(Candidates!$C$1:$C$500,K686))</f>
        <v/>
      </c>
      <c r="C686" s="85" t="str">
        <f aca="false">IF(A686="","",INDEX(Candidates!$D$1:$D$500,K686))</f>
        <v/>
      </c>
      <c r="D686" s="85" t="str">
        <f aca="false">IF(A686="","",L686)</f>
        <v/>
      </c>
      <c r="E686" s="85" t="str">
        <f aca="false">IF(A686="","",INDEX($O$2:$O$8,L686))</f>
        <v/>
      </c>
      <c r="F686" s="85" t="str">
        <f aca="false">IF(A686="","",IF(ISNUMBER(INDEX(Candidates!$A$1:$Z$500,K686,INDEX($P$2:$P$8,L686))),INDEX(Candidates!$A$1:$Z$500,K686,INDEX($P$2:$P$8,L686)),""))</f>
        <v/>
      </c>
      <c r="G686" s="85" t="str">
        <f aca="false">IF(A686="","",INDEX($Q$2:$Q$8,L686))</f>
        <v/>
      </c>
      <c r="H686" s="85" t="str">
        <f aca="false">IF(A686="","",IF(F686="","Not yet scored",IF(F686&gt;=G686,"Pass","Fail")))</f>
        <v/>
      </c>
      <c r="I686" s="85" t="str">
        <f aca="false">IF(A686="","",INDEX(Candidates!$B$1:$B$500,K686))</f>
        <v/>
      </c>
      <c r="K686" s="86" t="n">
        <f aca="false">INT((ROW()-2)/7)+2</f>
        <v>99</v>
      </c>
      <c r="L686" s="86" t="n">
        <f aca="false">MOD(ROW()-2,7)+1</f>
        <v>6</v>
      </c>
    </row>
    <row r="687" customFormat="false" ht="15" hidden="false" customHeight="false" outlineLevel="0" collapsed="false">
      <c r="A687" s="85" t="str">
        <f aca="false">IF(INDEX(Candidates!$A$1:$A$500,K687)="","",INDEX(Candidates!$A$1:$A$500,K687))</f>
        <v/>
      </c>
      <c r="B687" s="85" t="str">
        <f aca="false">IF(A687="","",INDEX(Candidates!$C$1:$C$500,K687))</f>
        <v/>
      </c>
      <c r="C687" s="85" t="str">
        <f aca="false">IF(A687="","",INDEX(Candidates!$D$1:$D$500,K687))</f>
        <v/>
      </c>
      <c r="D687" s="85" t="str">
        <f aca="false">IF(A687="","",L687)</f>
        <v/>
      </c>
      <c r="E687" s="85" t="str">
        <f aca="false">IF(A687="","",INDEX($O$2:$O$8,L687))</f>
        <v/>
      </c>
      <c r="F687" s="85" t="str">
        <f aca="false">IF(A687="","",IF(ISNUMBER(INDEX(Candidates!$A$1:$Z$500,K687,INDEX($P$2:$P$8,L687))),INDEX(Candidates!$A$1:$Z$500,K687,INDEX($P$2:$P$8,L687)),""))</f>
        <v/>
      </c>
      <c r="G687" s="85" t="str">
        <f aca="false">IF(A687="","",INDEX($Q$2:$Q$8,L687))</f>
        <v/>
      </c>
      <c r="H687" s="85" t="str">
        <f aca="false">IF(A687="","",IF(F687="","Not yet scored",IF(F687&gt;=G687,"Pass","Fail")))</f>
        <v/>
      </c>
      <c r="I687" s="85" t="str">
        <f aca="false">IF(A687="","",INDEX(Candidates!$B$1:$B$500,K687))</f>
        <v/>
      </c>
      <c r="K687" s="86" t="n">
        <f aca="false">INT((ROW()-2)/7)+2</f>
        <v>99</v>
      </c>
      <c r="L687" s="86" t="n">
        <f aca="false">MOD(ROW()-2,7)+1</f>
        <v>7</v>
      </c>
    </row>
    <row r="688" customFormat="false" ht="15" hidden="false" customHeight="false" outlineLevel="0" collapsed="false">
      <c r="A688" s="85" t="str">
        <f aca="false">IF(INDEX(Candidates!$A$1:$A$500,K688)="","",INDEX(Candidates!$A$1:$A$500,K688))</f>
        <v/>
      </c>
      <c r="B688" s="85" t="str">
        <f aca="false">IF(A688="","",INDEX(Candidates!$C$1:$C$500,K688))</f>
        <v/>
      </c>
      <c r="C688" s="85" t="str">
        <f aca="false">IF(A688="","",INDEX(Candidates!$D$1:$D$500,K688))</f>
        <v/>
      </c>
      <c r="D688" s="85" t="str">
        <f aca="false">IF(A688="","",L688)</f>
        <v/>
      </c>
      <c r="E688" s="85" t="str">
        <f aca="false">IF(A688="","",INDEX($O$2:$O$8,L688))</f>
        <v/>
      </c>
      <c r="F688" s="85" t="str">
        <f aca="false">IF(A688="","",IF(ISNUMBER(INDEX(Candidates!$A$1:$Z$500,K688,INDEX($P$2:$P$8,L688))),INDEX(Candidates!$A$1:$Z$500,K688,INDEX($P$2:$P$8,L688)),""))</f>
        <v/>
      </c>
      <c r="G688" s="85" t="str">
        <f aca="false">IF(A688="","",INDEX($Q$2:$Q$8,L688))</f>
        <v/>
      </c>
      <c r="H688" s="85" t="str">
        <f aca="false">IF(A688="","",IF(F688="","Not yet scored",IF(F688&gt;=G688,"Pass","Fail")))</f>
        <v/>
      </c>
      <c r="I688" s="85" t="str">
        <f aca="false">IF(A688="","",INDEX(Candidates!$B$1:$B$500,K688))</f>
        <v/>
      </c>
      <c r="K688" s="86" t="n">
        <f aca="false">INT((ROW()-2)/7)+2</f>
        <v>100</v>
      </c>
      <c r="L688" s="86" t="n">
        <f aca="false">MOD(ROW()-2,7)+1</f>
        <v>1</v>
      </c>
    </row>
    <row r="689" customFormat="false" ht="15" hidden="false" customHeight="false" outlineLevel="0" collapsed="false">
      <c r="A689" s="85" t="str">
        <f aca="false">IF(INDEX(Candidates!$A$1:$A$500,K689)="","",INDEX(Candidates!$A$1:$A$500,K689))</f>
        <v/>
      </c>
      <c r="B689" s="85" t="str">
        <f aca="false">IF(A689="","",INDEX(Candidates!$C$1:$C$500,K689))</f>
        <v/>
      </c>
      <c r="C689" s="85" t="str">
        <f aca="false">IF(A689="","",INDEX(Candidates!$D$1:$D$500,K689))</f>
        <v/>
      </c>
      <c r="D689" s="85" t="str">
        <f aca="false">IF(A689="","",L689)</f>
        <v/>
      </c>
      <c r="E689" s="85" t="str">
        <f aca="false">IF(A689="","",INDEX($O$2:$O$8,L689))</f>
        <v/>
      </c>
      <c r="F689" s="85" t="str">
        <f aca="false">IF(A689="","",IF(ISNUMBER(INDEX(Candidates!$A$1:$Z$500,K689,INDEX($P$2:$P$8,L689))),INDEX(Candidates!$A$1:$Z$500,K689,INDEX($P$2:$P$8,L689)),""))</f>
        <v/>
      </c>
      <c r="G689" s="85" t="str">
        <f aca="false">IF(A689="","",INDEX($Q$2:$Q$8,L689))</f>
        <v/>
      </c>
      <c r="H689" s="85" t="str">
        <f aca="false">IF(A689="","",IF(F689="","Not yet scored",IF(F689&gt;=G689,"Pass","Fail")))</f>
        <v/>
      </c>
      <c r="I689" s="85" t="str">
        <f aca="false">IF(A689="","",INDEX(Candidates!$B$1:$B$500,K689))</f>
        <v/>
      </c>
      <c r="K689" s="86" t="n">
        <f aca="false">INT((ROW()-2)/7)+2</f>
        <v>100</v>
      </c>
      <c r="L689" s="86" t="n">
        <f aca="false">MOD(ROW()-2,7)+1</f>
        <v>2</v>
      </c>
    </row>
    <row r="690" customFormat="false" ht="15" hidden="false" customHeight="false" outlineLevel="0" collapsed="false">
      <c r="A690" s="85" t="str">
        <f aca="false">IF(INDEX(Candidates!$A$1:$A$500,K690)="","",INDEX(Candidates!$A$1:$A$500,K690))</f>
        <v/>
      </c>
      <c r="B690" s="85" t="str">
        <f aca="false">IF(A690="","",INDEX(Candidates!$C$1:$C$500,K690))</f>
        <v/>
      </c>
      <c r="C690" s="85" t="str">
        <f aca="false">IF(A690="","",INDEX(Candidates!$D$1:$D$500,K690))</f>
        <v/>
      </c>
      <c r="D690" s="85" t="str">
        <f aca="false">IF(A690="","",L690)</f>
        <v/>
      </c>
      <c r="E690" s="85" t="str">
        <f aca="false">IF(A690="","",INDEX($O$2:$O$8,L690))</f>
        <v/>
      </c>
      <c r="F690" s="85" t="str">
        <f aca="false">IF(A690="","",IF(ISNUMBER(INDEX(Candidates!$A$1:$Z$500,K690,INDEX($P$2:$P$8,L690))),INDEX(Candidates!$A$1:$Z$500,K690,INDEX($P$2:$P$8,L690)),""))</f>
        <v/>
      </c>
      <c r="G690" s="85" t="str">
        <f aca="false">IF(A690="","",INDEX($Q$2:$Q$8,L690))</f>
        <v/>
      </c>
      <c r="H690" s="85" t="str">
        <f aca="false">IF(A690="","",IF(F690="","Not yet scored",IF(F690&gt;=G690,"Pass","Fail")))</f>
        <v/>
      </c>
      <c r="I690" s="85" t="str">
        <f aca="false">IF(A690="","",INDEX(Candidates!$B$1:$B$500,K690))</f>
        <v/>
      </c>
      <c r="K690" s="86" t="n">
        <f aca="false">INT((ROW()-2)/7)+2</f>
        <v>100</v>
      </c>
      <c r="L690" s="86" t="n">
        <f aca="false">MOD(ROW()-2,7)+1</f>
        <v>3</v>
      </c>
    </row>
    <row r="691" customFormat="false" ht="15" hidden="false" customHeight="false" outlineLevel="0" collapsed="false">
      <c r="A691" s="85" t="str">
        <f aca="false">IF(INDEX(Candidates!$A$1:$A$500,K691)="","",INDEX(Candidates!$A$1:$A$500,K691))</f>
        <v/>
      </c>
      <c r="B691" s="85" t="str">
        <f aca="false">IF(A691="","",INDEX(Candidates!$C$1:$C$500,K691))</f>
        <v/>
      </c>
      <c r="C691" s="85" t="str">
        <f aca="false">IF(A691="","",INDEX(Candidates!$D$1:$D$500,K691))</f>
        <v/>
      </c>
      <c r="D691" s="85" t="str">
        <f aca="false">IF(A691="","",L691)</f>
        <v/>
      </c>
      <c r="E691" s="85" t="str">
        <f aca="false">IF(A691="","",INDEX($O$2:$O$8,L691))</f>
        <v/>
      </c>
      <c r="F691" s="85" t="str">
        <f aca="false">IF(A691="","",IF(ISNUMBER(INDEX(Candidates!$A$1:$Z$500,K691,INDEX($P$2:$P$8,L691))),INDEX(Candidates!$A$1:$Z$500,K691,INDEX($P$2:$P$8,L691)),""))</f>
        <v/>
      </c>
      <c r="G691" s="85" t="str">
        <f aca="false">IF(A691="","",INDEX($Q$2:$Q$8,L691))</f>
        <v/>
      </c>
      <c r="H691" s="85" t="str">
        <f aca="false">IF(A691="","",IF(F691="","Not yet scored",IF(F691&gt;=G691,"Pass","Fail")))</f>
        <v/>
      </c>
      <c r="I691" s="85" t="str">
        <f aca="false">IF(A691="","",INDEX(Candidates!$B$1:$B$500,K691))</f>
        <v/>
      </c>
      <c r="K691" s="86" t="n">
        <f aca="false">INT((ROW()-2)/7)+2</f>
        <v>100</v>
      </c>
      <c r="L691" s="86" t="n">
        <f aca="false">MOD(ROW()-2,7)+1</f>
        <v>4</v>
      </c>
    </row>
    <row r="692" customFormat="false" ht="15" hidden="false" customHeight="false" outlineLevel="0" collapsed="false">
      <c r="A692" s="85" t="str">
        <f aca="false">IF(INDEX(Candidates!$A$1:$A$500,K692)="","",INDEX(Candidates!$A$1:$A$500,K692))</f>
        <v/>
      </c>
      <c r="B692" s="85" t="str">
        <f aca="false">IF(A692="","",INDEX(Candidates!$C$1:$C$500,K692))</f>
        <v/>
      </c>
      <c r="C692" s="85" t="str">
        <f aca="false">IF(A692="","",INDEX(Candidates!$D$1:$D$500,K692))</f>
        <v/>
      </c>
      <c r="D692" s="85" t="str">
        <f aca="false">IF(A692="","",L692)</f>
        <v/>
      </c>
      <c r="E692" s="85" t="str">
        <f aca="false">IF(A692="","",INDEX($O$2:$O$8,L692))</f>
        <v/>
      </c>
      <c r="F692" s="85" t="str">
        <f aca="false">IF(A692="","",IF(ISNUMBER(INDEX(Candidates!$A$1:$Z$500,K692,INDEX($P$2:$P$8,L692))),INDEX(Candidates!$A$1:$Z$500,K692,INDEX($P$2:$P$8,L692)),""))</f>
        <v/>
      </c>
      <c r="G692" s="85" t="str">
        <f aca="false">IF(A692="","",INDEX($Q$2:$Q$8,L692))</f>
        <v/>
      </c>
      <c r="H692" s="85" t="str">
        <f aca="false">IF(A692="","",IF(F692="","Not yet scored",IF(F692&gt;=G692,"Pass","Fail")))</f>
        <v/>
      </c>
      <c r="I692" s="85" t="str">
        <f aca="false">IF(A692="","",INDEX(Candidates!$B$1:$B$500,K692))</f>
        <v/>
      </c>
      <c r="K692" s="86" t="n">
        <f aca="false">INT((ROW()-2)/7)+2</f>
        <v>100</v>
      </c>
      <c r="L692" s="86" t="n">
        <f aca="false">MOD(ROW()-2,7)+1</f>
        <v>5</v>
      </c>
    </row>
    <row r="693" customFormat="false" ht="15" hidden="false" customHeight="false" outlineLevel="0" collapsed="false">
      <c r="A693" s="85" t="str">
        <f aca="false">IF(INDEX(Candidates!$A$1:$A$500,K693)="","",INDEX(Candidates!$A$1:$A$500,K693))</f>
        <v/>
      </c>
      <c r="B693" s="85" t="str">
        <f aca="false">IF(A693="","",INDEX(Candidates!$C$1:$C$500,K693))</f>
        <v/>
      </c>
      <c r="C693" s="85" t="str">
        <f aca="false">IF(A693="","",INDEX(Candidates!$D$1:$D$500,K693))</f>
        <v/>
      </c>
      <c r="D693" s="85" t="str">
        <f aca="false">IF(A693="","",L693)</f>
        <v/>
      </c>
      <c r="E693" s="85" t="str">
        <f aca="false">IF(A693="","",INDEX($O$2:$O$8,L693))</f>
        <v/>
      </c>
      <c r="F693" s="85" t="str">
        <f aca="false">IF(A693="","",IF(ISNUMBER(INDEX(Candidates!$A$1:$Z$500,K693,INDEX($P$2:$P$8,L693))),INDEX(Candidates!$A$1:$Z$500,K693,INDEX($P$2:$P$8,L693)),""))</f>
        <v/>
      </c>
      <c r="G693" s="85" t="str">
        <f aca="false">IF(A693="","",INDEX($Q$2:$Q$8,L693))</f>
        <v/>
      </c>
      <c r="H693" s="85" t="str">
        <f aca="false">IF(A693="","",IF(F693="","Not yet scored",IF(F693&gt;=G693,"Pass","Fail")))</f>
        <v/>
      </c>
      <c r="I693" s="85" t="str">
        <f aca="false">IF(A693="","",INDEX(Candidates!$B$1:$B$500,K693))</f>
        <v/>
      </c>
      <c r="K693" s="86" t="n">
        <f aca="false">INT((ROW()-2)/7)+2</f>
        <v>100</v>
      </c>
      <c r="L693" s="86" t="n">
        <f aca="false">MOD(ROW()-2,7)+1</f>
        <v>6</v>
      </c>
    </row>
    <row r="694" customFormat="false" ht="15" hidden="false" customHeight="false" outlineLevel="0" collapsed="false">
      <c r="A694" s="85" t="str">
        <f aca="false">IF(INDEX(Candidates!$A$1:$A$500,K694)="","",INDEX(Candidates!$A$1:$A$500,K694))</f>
        <v/>
      </c>
      <c r="B694" s="85" t="str">
        <f aca="false">IF(A694="","",INDEX(Candidates!$C$1:$C$500,K694))</f>
        <v/>
      </c>
      <c r="C694" s="85" t="str">
        <f aca="false">IF(A694="","",INDEX(Candidates!$D$1:$D$500,K694))</f>
        <v/>
      </c>
      <c r="D694" s="85" t="str">
        <f aca="false">IF(A694="","",L694)</f>
        <v/>
      </c>
      <c r="E694" s="85" t="str">
        <f aca="false">IF(A694="","",INDEX($O$2:$O$8,L694))</f>
        <v/>
      </c>
      <c r="F694" s="85" t="str">
        <f aca="false">IF(A694="","",IF(ISNUMBER(INDEX(Candidates!$A$1:$Z$500,K694,INDEX($P$2:$P$8,L694))),INDEX(Candidates!$A$1:$Z$500,K694,INDEX($P$2:$P$8,L694)),""))</f>
        <v/>
      </c>
      <c r="G694" s="85" t="str">
        <f aca="false">IF(A694="","",INDEX($Q$2:$Q$8,L694))</f>
        <v/>
      </c>
      <c r="H694" s="85" t="str">
        <f aca="false">IF(A694="","",IF(F694="","Not yet scored",IF(F694&gt;=G694,"Pass","Fail")))</f>
        <v/>
      </c>
      <c r="I694" s="85" t="str">
        <f aca="false">IF(A694="","",INDEX(Candidates!$B$1:$B$500,K694))</f>
        <v/>
      </c>
      <c r="K694" s="86" t="n">
        <f aca="false">INT((ROW()-2)/7)+2</f>
        <v>100</v>
      </c>
      <c r="L694" s="86" t="n">
        <f aca="false">MOD(ROW()-2,7)+1</f>
        <v>7</v>
      </c>
    </row>
    <row r="695" customFormat="false" ht="15" hidden="false" customHeight="false" outlineLevel="0" collapsed="false">
      <c r="A695" s="85" t="str">
        <f aca="false">IF(INDEX(Candidates!$A$1:$A$500,K695)="","",INDEX(Candidates!$A$1:$A$500,K695))</f>
        <v/>
      </c>
      <c r="B695" s="85" t="str">
        <f aca="false">IF(A695="","",INDEX(Candidates!$C$1:$C$500,K695))</f>
        <v/>
      </c>
      <c r="C695" s="85" t="str">
        <f aca="false">IF(A695="","",INDEX(Candidates!$D$1:$D$500,K695))</f>
        <v/>
      </c>
      <c r="D695" s="85" t="str">
        <f aca="false">IF(A695="","",L695)</f>
        <v/>
      </c>
      <c r="E695" s="85" t="str">
        <f aca="false">IF(A695="","",INDEX($O$2:$O$8,L695))</f>
        <v/>
      </c>
      <c r="F695" s="85" t="str">
        <f aca="false">IF(A695="","",IF(ISNUMBER(INDEX(Candidates!$A$1:$Z$500,K695,INDEX($P$2:$P$8,L695))),INDEX(Candidates!$A$1:$Z$500,K695,INDEX($P$2:$P$8,L695)),""))</f>
        <v/>
      </c>
      <c r="G695" s="85" t="str">
        <f aca="false">IF(A695="","",INDEX($Q$2:$Q$8,L695))</f>
        <v/>
      </c>
      <c r="H695" s="85" t="str">
        <f aca="false">IF(A695="","",IF(F695="","Not yet scored",IF(F695&gt;=G695,"Pass","Fail")))</f>
        <v/>
      </c>
      <c r="I695" s="85" t="str">
        <f aca="false">IF(A695="","",INDEX(Candidates!$B$1:$B$500,K695))</f>
        <v/>
      </c>
      <c r="K695" s="86" t="n">
        <f aca="false">INT((ROW()-2)/7)+2</f>
        <v>101</v>
      </c>
      <c r="L695" s="86" t="n">
        <f aca="false">MOD(ROW()-2,7)+1</f>
        <v>1</v>
      </c>
    </row>
    <row r="696" customFormat="false" ht="15" hidden="false" customHeight="false" outlineLevel="0" collapsed="false">
      <c r="A696" s="85" t="str">
        <f aca="false">IF(INDEX(Candidates!$A$1:$A$500,K696)="","",INDEX(Candidates!$A$1:$A$500,K696))</f>
        <v/>
      </c>
      <c r="B696" s="85" t="str">
        <f aca="false">IF(A696="","",INDEX(Candidates!$C$1:$C$500,K696))</f>
        <v/>
      </c>
      <c r="C696" s="85" t="str">
        <f aca="false">IF(A696="","",INDEX(Candidates!$D$1:$D$500,K696))</f>
        <v/>
      </c>
      <c r="D696" s="85" t="str">
        <f aca="false">IF(A696="","",L696)</f>
        <v/>
      </c>
      <c r="E696" s="85" t="str">
        <f aca="false">IF(A696="","",INDEX($O$2:$O$8,L696))</f>
        <v/>
      </c>
      <c r="F696" s="85" t="str">
        <f aca="false">IF(A696="","",IF(ISNUMBER(INDEX(Candidates!$A$1:$Z$500,K696,INDEX($P$2:$P$8,L696))),INDEX(Candidates!$A$1:$Z$500,K696,INDEX($P$2:$P$8,L696)),""))</f>
        <v/>
      </c>
      <c r="G696" s="85" t="str">
        <f aca="false">IF(A696="","",INDEX($Q$2:$Q$8,L696))</f>
        <v/>
      </c>
      <c r="H696" s="85" t="str">
        <f aca="false">IF(A696="","",IF(F696="","Not yet scored",IF(F696&gt;=G696,"Pass","Fail")))</f>
        <v/>
      </c>
      <c r="I696" s="85" t="str">
        <f aca="false">IF(A696="","",INDEX(Candidates!$B$1:$B$500,K696))</f>
        <v/>
      </c>
      <c r="K696" s="86" t="n">
        <f aca="false">INT((ROW()-2)/7)+2</f>
        <v>101</v>
      </c>
      <c r="L696" s="86" t="n">
        <f aca="false">MOD(ROW()-2,7)+1</f>
        <v>2</v>
      </c>
    </row>
    <row r="697" customFormat="false" ht="15" hidden="false" customHeight="false" outlineLevel="0" collapsed="false">
      <c r="A697" s="85" t="str">
        <f aca="false">IF(INDEX(Candidates!$A$1:$A$500,K697)="","",INDEX(Candidates!$A$1:$A$500,K697))</f>
        <v/>
      </c>
      <c r="B697" s="85" t="str">
        <f aca="false">IF(A697="","",INDEX(Candidates!$C$1:$C$500,K697))</f>
        <v/>
      </c>
      <c r="C697" s="85" t="str">
        <f aca="false">IF(A697="","",INDEX(Candidates!$D$1:$D$500,K697))</f>
        <v/>
      </c>
      <c r="D697" s="85" t="str">
        <f aca="false">IF(A697="","",L697)</f>
        <v/>
      </c>
      <c r="E697" s="85" t="str">
        <f aca="false">IF(A697="","",INDEX($O$2:$O$8,L697))</f>
        <v/>
      </c>
      <c r="F697" s="85" t="str">
        <f aca="false">IF(A697="","",IF(ISNUMBER(INDEX(Candidates!$A$1:$Z$500,K697,INDEX($P$2:$P$8,L697))),INDEX(Candidates!$A$1:$Z$500,K697,INDEX($P$2:$P$8,L697)),""))</f>
        <v/>
      </c>
      <c r="G697" s="85" t="str">
        <f aca="false">IF(A697="","",INDEX($Q$2:$Q$8,L697))</f>
        <v/>
      </c>
      <c r="H697" s="85" t="str">
        <f aca="false">IF(A697="","",IF(F697="","Not yet scored",IF(F697&gt;=G697,"Pass","Fail")))</f>
        <v/>
      </c>
      <c r="I697" s="85" t="str">
        <f aca="false">IF(A697="","",INDEX(Candidates!$B$1:$B$500,K697))</f>
        <v/>
      </c>
      <c r="K697" s="86" t="n">
        <f aca="false">INT((ROW()-2)/7)+2</f>
        <v>101</v>
      </c>
      <c r="L697" s="86" t="n">
        <f aca="false">MOD(ROW()-2,7)+1</f>
        <v>3</v>
      </c>
    </row>
    <row r="698" customFormat="false" ht="15" hidden="false" customHeight="false" outlineLevel="0" collapsed="false">
      <c r="A698" s="85" t="str">
        <f aca="false">IF(INDEX(Candidates!$A$1:$A$500,K698)="","",INDEX(Candidates!$A$1:$A$500,K698))</f>
        <v/>
      </c>
      <c r="B698" s="85" t="str">
        <f aca="false">IF(A698="","",INDEX(Candidates!$C$1:$C$500,K698))</f>
        <v/>
      </c>
      <c r="C698" s="85" t="str">
        <f aca="false">IF(A698="","",INDEX(Candidates!$D$1:$D$500,K698))</f>
        <v/>
      </c>
      <c r="D698" s="85" t="str">
        <f aca="false">IF(A698="","",L698)</f>
        <v/>
      </c>
      <c r="E698" s="85" t="str">
        <f aca="false">IF(A698="","",INDEX($O$2:$O$8,L698))</f>
        <v/>
      </c>
      <c r="F698" s="85" t="str">
        <f aca="false">IF(A698="","",IF(ISNUMBER(INDEX(Candidates!$A$1:$Z$500,K698,INDEX($P$2:$P$8,L698))),INDEX(Candidates!$A$1:$Z$500,K698,INDEX($P$2:$P$8,L698)),""))</f>
        <v/>
      </c>
      <c r="G698" s="85" t="str">
        <f aca="false">IF(A698="","",INDEX($Q$2:$Q$8,L698))</f>
        <v/>
      </c>
      <c r="H698" s="85" t="str">
        <f aca="false">IF(A698="","",IF(F698="","Not yet scored",IF(F698&gt;=G698,"Pass","Fail")))</f>
        <v/>
      </c>
      <c r="I698" s="85" t="str">
        <f aca="false">IF(A698="","",INDEX(Candidates!$B$1:$B$500,K698))</f>
        <v/>
      </c>
      <c r="K698" s="86" t="n">
        <f aca="false">INT((ROW()-2)/7)+2</f>
        <v>101</v>
      </c>
      <c r="L698" s="86" t="n">
        <f aca="false">MOD(ROW()-2,7)+1</f>
        <v>4</v>
      </c>
    </row>
    <row r="699" customFormat="false" ht="15" hidden="false" customHeight="false" outlineLevel="0" collapsed="false">
      <c r="A699" s="85" t="str">
        <f aca="false">IF(INDEX(Candidates!$A$1:$A$500,K699)="","",INDEX(Candidates!$A$1:$A$500,K699))</f>
        <v/>
      </c>
      <c r="B699" s="85" t="str">
        <f aca="false">IF(A699="","",INDEX(Candidates!$C$1:$C$500,K699))</f>
        <v/>
      </c>
      <c r="C699" s="85" t="str">
        <f aca="false">IF(A699="","",INDEX(Candidates!$D$1:$D$500,K699))</f>
        <v/>
      </c>
      <c r="D699" s="85" t="str">
        <f aca="false">IF(A699="","",L699)</f>
        <v/>
      </c>
      <c r="E699" s="85" t="str">
        <f aca="false">IF(A699="","",INDEX($O$2:$O$8,L699))</f>
        <v/>
      </c>
      <c r="F699" s="85" t="str">
        <f aca="false">IF(A699="","",IF(ISNUMBER(INDEX(Candidates!$A$1:$Z$500,K699,INDEX($P$2:$P$8,L699))),INDEX(Candidates!$A$1:$Z$500,K699,INDEX($P$2:$P$8,L699)),""))</f>
        <v/>
      </c>
      <c r="G699" s="85" t="str">
        <f aca="false">IF(A699="","",INDEX($Q$2:$Q$8,L699))</f>
        <v/>
      </c>
      <c r="H699" s="85" t="str">
        <f aca="false">IF(A699="","",IF(F699="","Not yet scored",IF(F699&gt;=G699,"Pass","Fail")))</f>
        <v/>
      </c>
      <c r="I699" s="85" t="str">
        <f aca="false">IF(A699="","",INDEX(Candidates!$B$1:$B$500,K699))</f>
        <v/>
      </c>
      <c r="K699" s="86" t="n">
        <f aca="false">INT((ROW()-2)/7)+2</f>
        <v>101</v>
      </c>
      <c r="L699" s="86" t="n">
        <f aca="false">MOD(ROW()-2,7)+1</f>
        <v>5</v>
      </c>
    </row>
    <row r="700" customFormat="false" ht="15" hidden="false" customHeight="false" outlineLevel="0" collapsed="false">
      <c r="A700" s="85" t="str">
        <f aca="false">IF(INDEX(Candidates!$A$1:$A$500,K700)="","",INDEX(Candidates!$A$1:$A$500,K700))</f>
        <v/>
      </c>
      <c r="B700" s="85" t="str">
        <f aca="false">IF(A700="","",INDEX(Candidates!$C$1:$C$500,K700))</f>
        <v/>
      </c>
      <c r="C700" s="85" t="str">
        <f aca="false">IF(A700="","",INDEX(Candidates!$D$1:$D$500,K700))</f>
        <v/>
      </c>
      <c r="D700" s="85" t="str">
        <f aca="false">IF(A700="","",L700)</f>
        <v/>
      </c>
      <c r="E700" s="85" t="str">
        <f aca="false">IF(A700="","",INDEX($O$2:$O$8,L700))</f>
        <v/>
      </c>
      <c r="F700" s="85" t="str">
        <f aca="false">IF(A700="","",IF(ISNUMBER(INDEX(Candidates!$A$1:$Z$500,K700,INDEX($P$2:$P$8,L700))),INDEX(Candidates!$A$1:$Z$500,K700,INDEX($P$2:$P$8,L700)),""))</f>
        <v/>
      </c>
      <c r="G700" s="85" t="str">
        <f aca="false">IF(A700="","",INDEX($Q$2:$Q$8,L700))</f>
        <v/>
      </c>
      <c r="H700" s="85" t="str">
        <f aca="false">IF(A700="","",IF(F700="","Not yet scored",IF(F700&gt;=G700,"Pass","Fail")))</f>
        <v/>
      </c>
      <c r="I700" s="85" t="str">
        <f aca="false">IF(A700="","",INDEX(Candidates!$B$1:$B$500,K700))</f>
        <v/>
      </c>
      <c r="K700" s="86" t="n">
        <f aca="false">INT((ROW()-2)/7)+2</f>
        <v>101</v>
      </c>
      <c r="L700" s="86" t="n">
        <f aca="false">MOD(ROW()-2,7)+1</f>
        <v>6</v>
      </c>
    </row>
    <row r="701" customFormat="false" ht="15" hidden="false" customHeight="false" outlineLevel="0" collapsed="false">
      <c r="A701" s="85" t="str">
        <f aca="false">IF(INDEX(Candidates!$A$1:$A$500,K701)="","",INDEX(Candidates!$A$1:$A$500,K701))</f>
        <v/>
      </c>
      <c r="B701" s="85" t="str">
        <f aca="false">IF(A701="","",INDEX(Candidates!$C$1:$C$500,K701))</f>
        <v/>
      </c>
      <c r="C701" s="85" t="str">
        <f aca="false">IF(A701="","",INDEX(Candidates!$D$1:$D$500,K701))</f>
        <v/>
      </c>
      <c r="D701" s="85" t="str">
        <f aca="false">IF(A701="","",L701)</f>
        <v/>
      </c>
      <c r="E701" s="85" t="str">
        <f aca="false">IF(A701="","",INDEX($O$2:$O$8,L701))</f>
        <v/>
      </c>
      <c r="F701" s="85" t="str">
        <f aca="false">IF(A701="","",IF(ISNUMBER(INDEX(Candidates!$A$1:$Z$500,K701,INDEX($P$2:$P$8,L701))),INDEX(Candidates!$A$1:$Z$500,K701,INDEX($P$2:$P$8,L701)),""))</f>
        <v/>
      </c>
      <c r="G701" s="85" t="str">
        <f aca="false">IF(A701="","",INDEX($Q$2:$Q$8,L701))</f>
        <v/>
      </c>
      <c r="H701" s="85" t="str">
        <f aca="false">IF(A701="","",IF(F701="","Not yet scored",IF(F701&gt;=G701,"Pass","Fail")))</f>
        <v/>
      </c>
      <c r="I701" s="85" t="str">
        <f aca="false">IF(A701="","",INDEX(Candidates!$B$1:$B$500,K701))</f>
        <v/>
      </c>
      <c r="K701" s="86" t="n">
        <f aca="false">INT((ROW()-2)/7)+2</f>
        <v>101</v>
      </c>
      <c r="L701" s="86" t="n">
        <f aca="false">MOD(ROW()-2,7)+1</f>
        <v>7</v>
      </c>
    </row>
  </sheetData>
  <conditionalFormatting sqref="H2:H701">
    <cfRule type="expression" priority="2" aboveAverage="0" equalAverage="0" bottom="0" percent="0" rank="0" text="" dxfId="13">
      <formula>$H2="Fail"</formula>
    </cfRule>
    <cfRule type="expression" priority="3" aboveAverage="0" equalAverage="0" bottom="0" percent="0" rank="0" text="" dxfId="17">
      <formula>$H2="Pass"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8C"/>
    <pageSetUpPr fitToPage="false"/>
  </sheetPr>
  <dimension ref="B2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00"/>
  </cols>
  <sheetData>
    <row r="2" customFormat="false" ht="30" hidden="false" customHeight="true" outlineLevel="0" collapsed="false">
      <c r="B2" s="88" t="s">
        <v>202</v>
      </c>
    </row>
    <row r="3" customFormat="false" ht="23.85" hidden="false" customHeight="false" outlineLevel="0" collapsed="false">
      <c r="B3" s="89" t="s">
        <v>203</v>
      </c>
      <c r="C3" s="90" t="s">
        <v>204</v>
      </c>
    </row>
    <row r="5" customFormat="false" ht="15" hidden="false" customHeight="false" outlineLevel="0" collapsed="false">
      <c r="B5" s="91" t="s">
        <v>205</v>
      </c>
      <c r="C5" s="13"/>
    </row>
    <row r="6" customFormat="false" ht="23.85" hidden="false" customHeight="false" outlineLevel="0" collapsed="false">
      <c r="B6" s="89" t="s">
        <v>206</v>
      </c>
      <c r="C6" s="90" t="s">
        <v>207</v>
      </c>
    </row>
    <row r="7" customFormat="false" ht="15" hidden="false" customHeight="false" outlineLevel="0" collapsed="false">
      <c r="B7" s="89" t="s">
        <v>208</v>
      </c>
      <c r="C7" s="90" t="s">
        <v>209</v>
      </c>
    </row>
    <row r="8" customFormat="false" ht="23.85" hidden="false" customHeight="false" outlineLevel="0" collapsed="false">
      <c r="B8" s="89" t="s">
        <v>210</v>
      </c>
      <c r="C8" s="90" t="s">
        <v>211</v>
      </c>
    </row>
    <row r="9" customFormat="false" ht="15" hidden="false" customHeight="false" outlineLevel="0" collapsed="false">
      <c r="B9" s="89" t="s">
        <v>212</v>
      </c>
      <c r="C9" s="90" t="s">
        <v>213</v>
      </c>
    </row>
    <row r="11" customFormat="false" ht="15" hidden="false" customHeight="false" outlineLevel="0" collapsed="false">
      <c r="B11" s="91" t="s">
        <v>214</v>
      </c>
      <c r="C11" s="13"/>
    </row>
    <row r="12" customFormat="false" ht="15" hidden="false" customHeight="false" outlineLevel="0" collapsed="false">
      <c r="B12" s="89" t="s">
        <v>215</v>
      </c>
      <c r="C12" s="90" t="s">
        <v>216</v>
      </c>
    </row>
    <row r="13" customFormat="false" ht="15" hidden="false" customHeight="false" outlineLevel="0" collapsed="false">
      <c r="B13" s="89" t="s">
        <v>217</v>
      </c>
      <c r="C13" s="90" t="s">
        <v>218</v>
      </c>
    </row>
    <row r="14" customFormat="false" ht="23.85" hidden="false" customHeight="false" outlineLevel="0" collapsed="false">
      <c r="B14" s="89" t="s">
        <v>219</v>
      </c>
      <c r="C14" s="92" t="s">
        <v>220</v>
      </c>
    </row>
    <row r="15" customFormat="false" ht="15" hidden="false" customHeight="false" outlineLevel="0" collapsed="false">
      <c r="B15" s="89" t="s">
        <v>221</v>
      </c>
      <c r="C15" s="90" t="s">
        <v>222</v>
      </c>
    </row>
    <row r="17" customFormat="false" ht="15" hidden="false" customHeight="false" outlineLevel="0" collapsed="false">
      <c r="B17" s="91" t="s">
        <v>223</v>
      </c>
      <c r="C17" s="13"/>
    </row>
    <row r="18" customFormat="false" ht="15" hidden="false" customHeight="false" outlineLevel="0" collapsed="false">
      <c r="B18" s="89" t="s">
        <v>224</v>
      </c>
      <c r="C18" s="92" t="s">
        <v>225</v>
      </c>
    </row>
    <row r="19" customFormat="false" ht="15" hidden="false" customHeight="false" outlineLevel="0" collapsed="false">
      <c r="B19" s="89" t="s">
        <v>31</v>
      </c>
      <c r="C19" s="92" t="s">
        <v>226</v>
      </c>
    </row>
    <row r="20" customFormat="false" ht="15" hidden="false" customHeight="false" outlineLevel="0" collapsed="false">
      <c r="B20" s="89" t="s">
        <v>227</v>
      </c>
      <c r="C20" s="92" t="s">
        <v>228</v>
      </c>
    </row>
    <row r="21" customFormat="false" ht="15" hidden="false" customHeight="false" outlineLevel="0" collapsed="false">
      <c r="B21" s="89" t="s">
        <v>229</v>
      </c>
      <c r="C21" s="92" t="s">
        <v>230</v>
      </c>
    </row>
    <row r="22" customFormat="false" ht="15" hidden="false" customHeight="false" outlineLevel="0" collapsed="false">
      <c r="B22" s="89" t="s">
        <v>231</v>
      </c>
      <c r="C22" s="92" t="s">
        <v>232</v>
      </c>
    </row>
    <row r="23" customFormat="false" ht="15" hidden="false" customHeight="false" outlineLevel="0" collapsed="false">
      <c r="B23" s="89" t="s">
        <v>16</v>
      </c>
      <c r="C23" s="92" t="s">
        <v>233</v>
      </c>
    </row>
    <row r="24" customFormat="false" ht="15" hidden="false" customHeight="false" outlineLevel="0" collapsed="false">
      <c r="B24" s="89" t="s">
        <v>17</v>
      </c>
      <c r="C24" s="92" t="s">
        <v>234</v>
      </c>
    </row>
    <row r="25" customFormat="false" ht="15" hidden="false" customHeight="false" outlineLevel="0" collapsed="false">
      <c r="B25" s="89" t="s">
        <v>235</v>
      </c>
      <c r="C25" s="92" t="s">
        <v>236</v>
      </c>
    </row>
    <row r="26" customFormat="false" ht="15" hidden="false" customHeight="false" outlineLevel="0" collapsed="false">
      <c r="B26" s="89" t="s">
        <v>237</v>
      </c>
      <c r="C26" s="92" t="s">
        <v>238</v>
      </c>
    </row>
    <row r="27" customFormat="false" ht="23.85" hidden="false" customHeight="false" outlineLevel="0" collapsed="false">
      <c r="B27" s="89" t="s">
        <v>239</v>
      </c>
      <c r="C27" s="92" t="s">
        <v>240</v>
      </c>
    </row>
    <row r="29" customFormat="false" ht="15" hidden="false" customHeight="false" outlineLevel="0" collapsed="false">
      <c r="B29" s="91" t="s">
        <v>241</v>
      </c>
      <c r="C29" s="13"/>
    </row>
    <row r="30" customFormat="false" ht="15" hidden="false" customHeight="false" outlineLevel="0" collapsed="false">
      <c r="B30" s="89" t="s">
        <v>242</v>
      </c>
      <c r="C30" s="90" t="s">
        <v>243</v>
      </c>
    </row>
    <row r="31" customFormat="false" ht="15" hidden="false" customHeight="false" outlineLevel="0" collapsed="false">
      <c r="B31" s="89" t="s">
        <v>244</v>
      </c>
      <c r="C31" s="90" t="s">
        <v>245</v>
      </c>
    </row>
    <row r="32" customFormat="false" ht="15" hidden="false" customHeight="false" outlineLevel="0" collapsed="false">
      <c r="B32" s="89" t="s">
        <v>246</v>
      </c>
      <c r="C32" s="90" t="s">
        <v>247</v>
      </c>
    </row>
    <row r="33" customFormat="false" ht="15" hidden="false" customHeight="false" outlineLevel="0" collapsed="false">
      <c r="B33" s="89" t="s">
        <v>248</v>
      </c>
      <c r="C33" s="90" t="s">
        <v>249</v>
      </c>
    </row>
    <row r="34" customFormat="false" ht="35.05" hidden="false" customHeight="false" outlineLevel="0" collapsed="false">
      <c r="B34" s="89" t="s">
        <v>250</v>
      </c>
      <c r="C34" s="90" t="s">
        <v>251</v>
      </c>
    </row>
    <row r="35" customFormat="false" ht="15" hidden="false" customHeight="false" outlineLevel="0" collapsed="false">
      <c r="B35" s="89" t="s">
        <v>252</v>
      </c>
      <c r="C35" s="90" t="s">
        <v>253</v>
      </c>
    </row>
    <row r="36" customFormat="false" ht="15" hidden="false" customHeight="false" outlineLevel="0" collapsed="false">
      <c r="B36" s="89" t="s">
        <v>254</v>
      </c>
      <c r="C36" s="90" t="s">
        <v>255</v>
      </c>
    </row>
    <row r="38" customFormat="false" ht="15" hidden="false" customHeight="false" outlineLevel="0" collapsed="false">
      <c r="B38" s="91" t="s">
        <v>256</v>
      </c>
      <c r="C38" s="13"/>
    </row>
    <row r="39" customFormat="false" ht="15" hidden="false" customHeight="false" outlineLevel="0" collapsed="false">
      <c r="B39" s="89" t="s">
        <v>257</v>
      </c>
      <c r="C39" s="90" t="s">
        <v>258</v>
      </c>
    </row>
    <row r="40" customFormat="false" ht="15" hidden="false" customHeight="false" outlineLevel="0" collapsed="false">
      <c r="B40" s="89" t="s">
        <v>259</v>
      </c>
      <c r="C40" s="90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8C"/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30" hidden="false" customHeight="true" outlineLevel="0" collapsed="false">
      <c r="B2" s="88" t="s">
        <v>261</v>
      </c>
    </row>
    <row r="3" customFormat="false" ht="23.85" hidden="false" customHeight="false" outlineLevel="0" collapsed="false">
      <c r="B3" s="89" t="s">
        <v>262</v>
      </c>
      <c r="C3" s="90" t="s">
        <v>263</v>
      </c>
    </row>
    <row r="5" customFormat="false" ht="15" hidden="false" customHeight="false" outlineLevel="0" collapsed="false">
      <c r="B5" s="91" t="s">
        <v>264</v>
      </c>
      <c r="C5" s="13"/>
    </row>
    <row r="6" customFormat="false" ht="15" hidden="false" customHeight="false" outlineLevel="0" collapsed="false">
      <c r="B6" s="89" t="s">
        <v>265</v>
      </c>
      <c r="C6" s="90" t="s">
        <v>266</v>
      </c>
    </row>
    <row r="7" customFormat="false" ht="23.85" hidden="false" customHeight="false" outlineLevel="0" collapsed="false">
      <c r="B7" s="89" t="s">
        <v>29</v>
      </c>
      <c r="C7" s="90" t="s">
        <v>267</v>
      </c>
    </row>
    <row r="8" customFormat="false" ht="15" hidden="false" customHeight="false" outlineLevel="0" collapsed="false">
      <c r="B8" s="89" t="s">
        <v>268</v>
      </c>
      <c r="C8" s="90" t="s">
        <v>269</v>
      </c>
    </row>
    <row r="9" customFormat="false" ht="15" hidden="false" customHeight="false" outlineLevel="0" collapsed="false">
      <c r="B9" s="89" t="s">
        <v>270</v>
      </c>
      <c r="C9" s="90" t="s">
        <v>271</v>
      </c>
    </row>
    <row r="10" customFormat="false" ht="15" hidden="false" customHeight="false" outlineLevel="0" collapsed="false">
      <c r="B10" s="89" t="s">
        <v>272</v>
      </c>
      <c r="C10" s="90" t="s">
        <v>273</v>
      </c>
    </row>
    <row r="11" customFormat="false" ht="15" hidden="false" customHeight="false" outlineLevel="0" collapsed="false">
      <c r="B11" s="89" t="s">
        <v>274</v>
      </c>
      <c r="C11" s="90" t="s">
        <v>275</v>
      </c>
    </row>
    <row r="12" customFormat="false" ht="15" hidden="false" customHeight="false" outlineLevel="0" collapsed="false">
      <c r="B12" s="89" t="s">
        <v>276</v>
      </c>
      <c r="C12" s="90" t="s">
        <v>277</v>
      </c>
    </row>
    <row r="14" customFormat="false" ht="15" hidden="false" customHeight="false" outlineLevel="0" collapsed="false">
      <c r="B14" s="91" t="s">
        <v>278</v>
      </c>
      <c r="C14" s="13"/>
    </row>
    <row r="15" customFormat="false" ht="15" hidden="false" customHeight="false" outlineLevel="0" collapsed="false">
      <c r="B15" s="89" t="s">
        <v>279</v>
      </c>
      <c r="C15" s="90" t="s">
        <v>280</v>
      </c>
    </row>
    <row r="16" customFormat="false" ht="23.85" hidden="false" customHeight="false" outlineLevel="0" collapsed="false">
      <c r="B16" s="89" t="s">
        <v>281</v>
      </c>
      <c r="C16" s="90" t="s">
        <v>282</v>
      </c>
    </row>
    <row r="17" customFormat="false" ht="23.85" hidden="false" customHeight="false" outlineLevel="0" collapsed="false">
      <c r="B17" s="89" t="s">
        <v>283</v>
      </c>
      <c r="C17" s="90" t="s">
        <v>284</v>
      </c>
    </row>
    <row r="19" customFormat="false" ht="15" hidden="false" customHeight="false" outlineLevel="0" collapsed="false">
      <c r="B19" s="91" t="s">
        <v>285</v>
      </c>
      <c r="C19" s="13"/>
    </row>
    <row r="20" customFormat="false" ht="15" hidden="false" customHeight="false" outlineLevel="0" collapsed="false">
      <c r="B20" s="89" t="s">
        <v>286</v>
      </c>
      <c r="C20" s="90" t="s">
        <v>287</v>
      </c>
    </row>
    <row r="21" customFormat="false" ht="15" hidden="false" customHeight="false" outlineLevel="0" collapsed="false">
      <c r="B21" s="89" t="s">
        <v>288</v>
      </c>
      <c r="C21" s="90" t="s">
        <v>289</v>
      </c>
    </row>
    <row r="22" customFormat="false" ht="15" hidden="false" customHeight="false" outlineLevel="0" collapsed="false">
      <c r="B22" s="89" t="s">
        <v>290</v>
      </c>
      <c r="C22" s="90" t="s">
        <v>291</v>
      </c>
    </row>
    <row r="24" customFormat="false" ht="15" hidden="false" customHeight="false" outlineLevel="0" collapsed="false">
      <c r="B24" s="91" t="s">
        <v>292</v>
      </c>
      <c r="C24" s="13"/>
    </row>
    <row r="25" customFormat="false" ht="15" hidden="false" customHeight="false" outlineLevel="0" collapsed="false">
      <c r="B25" s="89" t="s">
        <v>293</v>
      </c>
      <c r="C25" s="90" t="s">
        <v>294</v>
      </c>
    </row>
    <row r="26" customFormat="false" ht="15" hidden="false" customHeight="false" outlineLevel="0" collapsed="false">
      <c r="B26" s="89" t="s">
        <v>295</v>
      </c>
      <c r="C26" s="90" t="s">
        <v>296</v>
      </c>
    </row>
    <row r="27" customFormat="false" ht="23.85" hidden="false" customHeight="false" outlineLevel="0" collapsed="false">
      <c r="B27" s="89" t="s">
        <v>297</v>
      </c>
      <c r="C27" s="90" t="s">
        <v>298</v>
      </c>
    </row>
    <row r="28" customFormat="false" ht="15" hidden="false" customHeight="false" outlineLevel="0" collapsed="false">
      <c r="B28" s="89" t="s">
        <v>299</v>
      </c>
      <c r="C28" s="90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2022-09-09T19:33:46Z</dcterms:created>
  <dc:creator>Carter Ibach</dc:creator>
  <dc:description/>
  <dc:language>en-US</dc:language>
  <cp:lastModifiedBy/>
  <dcterms:modified xsi:type="dcterms:W3CDTF">2026-10-13T15:28:13Z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0x0101005548D53BD61D9F4883FB6DE1B5827635</vt:lpwstr>
  </property>
  <property fmtid="{D5CDD505-2E9C-101B-9397-08002B2CF9AE}" pid="4" name="TriggerFlowInfo">
    <vt:lpwstr/>
  </property>
  <property fmtid="{D5CDD505-2E9C-101B-9397-08002B2CF9AE}" pid="5" name="_ExtendedDescription">
    <vt:lpwstr/>
  </property>
  <property fmtid="{D5CDD505-2E9C-101B-9397-08002B2CF9AE}" pid="6" name="_SharedFileIndex">
    <vt:lpwstr/>
  </property>
  <property fmtid="{D5CDD505-2E9C-101B-9397-08002B2CF9AE}" pid="7" name="_SourceUrl">
    <vt:lpwstr/>
  </property>
</Properties>
</file>